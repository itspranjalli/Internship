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0004378\Desktop\AI COE EDB\"/>
    </mc:Choice>
  </mc:AlternateContent>
  <xr:revisionPtr revIDLastSave="0" documentId="13_ncr:1_{0A06963B-B089-4121-8CCC-2895E1F15BB4}" xr6:coauthVersionLast="47" xr6:coauthVersionMax="47" xr10:uidLastSave="{00000000-0000-0000-0000-000000000000}"/>
  <bookViews>
    <workbookView xWindow="-110" yWindow="-110" windowWidth="19420" windowHeight="11500" activeTab="1" xr2:uid="{D96979F0-E873-48C4-AA8C-0ED71F3967E2}"/>
  </bookViews>
  <sheets>
    <sheet name="Participating entities" sheetId="1" r:id="rId1"/>
    <sheet name="Time Sheet" sheetId="2" r:id="rId2"/>
    <sheet name="Staff Costs" sheetId="3" r:id="rId3"/>
    <sheet name="List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5" i="3" l="1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18" i="3"/>
  <c r="O17" i="3"/>
  <c r="O16" i="3"/>
  <c r="O1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28" i="3"/>
  <c r="N27" i="3"/>
  <c r="N23" i="3"/>
  <c r="N18" i="3"/>
  <c r="N17" i="3"/>
  <c r="N16" i="3"/>
  <c r="N1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N31" i="3" s="1"/>
  <c r="H30" i="3"/>
  <c r="N30" i="3" s="1"/>
  <c r="H29" i="3"/>
  <c r="N29" i="3" s="1"/>
  <c r="H28" i="3"/>
  <c r="H27" i="3"/>
  <c r="H26" i="3"/>
  <c r="N26" i="3" s="1"/>
  <c r="H25" i="3"/>
  <c r="N25" i="3" s="1"/>
  <c r="H24" i="3"/>
  <c r="N24" i="3" s="1"/>
  <c r="H23" i="3"/>
  <c r="H22" i="3"/>
  <c r="N22" i="3" s="1"/>
  <c r="H21" i="3"/>
  <c r="N21" i="3" s="1"/>
  <c r="H20" i="3"/>
  <c r="N20" i="3" s="1"/>
  <c r="H19" i="3"/>
  <c r="N19" i="3" s="1"/>
  <c r="H18" i="3"/>
  <c r="H17" i="3"/>
  <c r="H16" i="3"/>
  <c r="H15" i="3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M23" i="3" l="1"/>
  <c r="O23" i="3" s="1"/>
  <c r="M17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O46" i="3" s="1"/>
  <c r="M45" i="3"/>
  <c r="O45" i="3" s="1"/>
  <c r="M44" i="3"/>
  <c r="O44" i="3" s="1"/>
  <c r="M43" i="3"/>
  <c r="O43" i="3" s="1"/>
  <c r="M42" i="3"/>
  <c r="O42" i="3" s="1"/>
  <c r="M41" i="3"/>
  <c r="O41" i="3" s="1"/>
  <c r="M40" i="3"/>
  <c r="O40" i="3" s="1"/>
  <c r="M39" i="3"/>
  <c r="O39" i="3" s="1"/>
  <c r="M38" i="3"/>
  <c r="O38" i="3" s="1"/>
  <c r="M37" i="3"/>
  <c r="O37" i="3" s="1"/>
  <c r="M36" i="3"/>
  <c r="O36" i="3" s="1"/>
  <c r="M35" i="3"/>
  <c r="O35" i="3" s="1"/>
  <c r="M34" i="3"/>
  <c r="O34" i="3" s="1"/>
  <c r="M33" i="3"/>
  <c r="O33" i="3" s="1"/>
  <c r="M32" i="3"/>
  <c r="O32" i="3" s="1"/>
  <c r="M31" i="3"/>
  <c r="O31" i="3" s="1"/>
  <c r="M30" i="3"/>
  <c r="O30" i="3" s="1"/>
  <c r="M29" i="3"/>
  <c r="O29" i="3" s="1"/>
  <c r="M28" i="3"/>
  <c r="O28" i="3" s="1"/>
  <c r="M27" i="3"/>
  <c r="O27" i="3" s="1"/>
  <c r="M26" i="3"/>
  <c r="O26" i="3" s="1"/>
  <c r="M25" i="3"/>
  <c r="O25" i="3" s="1"/>
  <c r="M24" i="3"/>
  <c r="O24" i="3" s="1"/>
  <c r="M22" i="3"/>
  <c r="O22" i="3" s="1"/>
  <c r="M21" i="3"/>
  <c r="O21" i="3" s="1"/>
  <c r="M20" i="3"/>
  <c r="O20" i="3" s="1"/>
  <c r="M19" i="3"/>
  <c r="O19" i="3" s="1"/>
  <c r="M18" i="3"/>
  <c r="M16" i="3"/>
  <c r="Z19" i="2"/>
  <c r="E63" i="3" l="1"/>
  <c r="E64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16" i="3"/>
  <c r="E15" i="3"/>
  <c r="M15" i="3" l="1"/>
  <c r="F15" i="3"/>
  <c r="J16" i="3"/>
  <c r="J1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G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D15" i="3"/>
  <c r="C15" i="3"/>
  <c r="F3" i="3"/>
  <c r="J65" i="3" l="1"/>
  <c r="B16" i="3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B20" i="2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P15" i="3"/>
  <c r="S22" i="1" l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5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5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5" i="1"/>
  <c r="B8" i="1"/>
  <c r="B9" i="1" s="1"/>
  <c r="B10" i="1" s="1"/>
  <c r="B11" i="1" s="1"/>
  <c r="B12" i="1" s="1"/>
  <c r="B13" i="1" s="1"/>
  <c r="B14" i="1" s="1"/>
  <c r="B15" i="1" s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<sst xmlns="http://schemas.openxmlformats.org/spreadsheetml/2006/main" count="207" uniqueCount="132">
  <si>
    <t>S/No</t>
  </si>
  <si>
    <t>Entity Name</t>
  </si>
  <si>
    <t>ST Engineering IHQ Pte Ltd</t>
  </si>
  <si>
    <t>GEC</t>
  </si>
  <si>
    <t>GTO</t>
  </si>
  <si>
    <t>IT</t>
  </si>
  <si>
    <t>ST Engineering Advanced Networks &amp; Sensors Pte Ltd</t>
  </si>
  <si>
    <t>ST Engineering Digital System Pte Ltd</t>
  </si>
  <si>
    <t>ST Engineering Geo-Insights Pte Ltd</t>
  </si>
  <si>
    <t>ST Engineering Mission Software &amp; Services Pte Ltd</t>
  </si>
  <si>
    <t>ST Engineering Training &amp; Simulation Systems Pte Ltd</t>
  </si>
  <si>
    <t>ST Engineering Unmanned &amp; Integrated Systems Pte Ltd</t>
  </si>
  <si>
    <t>ST Engineering Advanced Material Engineering Pte Ltd</t>
  </si>
  <si>
    <t>ST Engineering Land MRO &amp; Services Pte Ltd</t>
  </si>
  <si>
    <t>ST Engineering Land Systems Ltd</t>
  </si>
  <si>
    <t>ST Engineering Autonomous Solutions Pte Ltd</t>
  </si>
  <si>
    <t>ST Engineering Urban Solutions Ltd.</t>
  </si>
  <si>
    <t>ST Engineering Mobility Services Pte Ltd</t>
  </si>
  <si>
    <t>STA Inspection Pte Ltd</t>
  </si>
  <si>
    <t>ST Engineering Aerospace Ltd</t>
  </si>
  <si>
    <t>ST Engineering Marine Ltd</t>
  </si>
  <si>
    <t>AI COE Centre #</t>
  </si>
  <si>
    <t>NOTES:</t>
  </si>
  <si>
    <t xml:space="preserve"> RSEs: Research Scientists and Engineers (RSEs).To qualify for the RIS(C) support, these RSEs must be local (i.e. citizens or permanent residents of Singapore)</t>
  </si>
  <si>
    <t>TOTAT RSEs*</t>
  </si>
  <si>
    <t>*</t>
  </si>
  <si>
    <t>Qualifying RSEs approved  by ECMF**</t>
  </si>
  <si>
    <t>**</t>
  </si>
  <si>
    <t>Engineering Competency Management Framework (ECMF) Committee chaired by Group CHRO and Group Chief Engineering Officer</t>
  </si>
  <si>
    <t>FY 2026</t>
  </si>
  <si>
    <t>New Hirers</t>
  </si>
  <si>
    <t>Reskilled</t>
  </si>
  <si>
    <t>Upskilled</t>
  </si>
  <si>
    <t>Other RSEs</t>
  </si>
  <si>
    <t>FY 2027</t>
  </si>
  <si>
    <t>FY 2028</t>
  </si>
  <si>
    <t>Validated by:</t>
  </si>
  <si>
    <t>(Name)</t>
  </si>
  <si>
    <t xml:space="preserve">Date    </t>
  </si>
  <si>
    <t>Finance Business Partner</t>
  </si>
  <si>
    <t>on behalf of ECMF</t>
  </si>
  <si>
    <t>FY 2026 RSEs validated by:</t>
  </si>
  <si>
    <t>FY 2027 RSEs validated by:</t>
  </si>
  <si>
    <t>FY 2028 RSEs validated by:</t>
  </si>
  <si>
    <t>Note:</t>
  </si>
  <si>
    <r>
      <rPr>
        <b/>
        <vertAlign val="superscript"/>
        <sz val="11"/>
        <color rgb="FF00B050"/>
        <rFont val="Calibri"/>
        <family val="2"/>
      </rPr>
      <t>1</t>
    </r>
    <r>
      <rPr>
        <b/>
        <sz val="11"/>
        <color rgb="FF00B050"/>
        <rFont val="Calibri"/>
        <family val="2"/>
      </rPr>
      <t xml:space="preserve"> Total hours spent for each month is capped at 100% on the basis of 8.8hours/ working day and respective number of working days in each month</t>
    </r>
  </si>
  <si>
    <t>PROJECT TEAM</t>
  </si>
  <si>
    <r>
      <t xml:space="preserve">HOURS SPENT </t>
    </r>
    <r>
      <rPr>
        <b/>
        <vertAlign val="superscript"/>
        <sz val="11"/>
        <color rgb="FFFFFFFF"/>
        <rFont val="Calibri"/>
        <family val="2"/>
      </rPr>
      <t>1</t>
    </r>
  </si>
  <si>
    <t>S/N</t>
  </si>
  <si>
    <t>Employee ID</t>
  </si>
  <si>
    <t>Name</t>
  </si>
  <si>
    <t>Employee designation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</si>
  <si>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</si>
  <si>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</si>
  <si>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</si>
  <si>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</si>
  <si>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</si>
  <si>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</si>
  <si>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</si>
  <si>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</si>
  <si>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</si>
  <si>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</si>
  <si>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</si>
  <si>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</si>
  <si>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</si>
  <si>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Date</t>
  </si>
  <si>
    <t>Prepared by:</t>
  </si>
  <si>
    <t>Reviewed by:</t>
  </si>
  <si>
    <t>Project Manager</t>
  </si>
  <si>
    <t>To be completed on a monthly basis</t>
  </si>
  <si>
    <t>(Name of Participating entity)</t>
  </si>
  <si>
    <t>Participating Entity GM</t>
  </si>
  <si>
    <t>Validated by ECMF</t>
  </si>
  <si>
    <t>Current AI Proficiency Level</t>
  </si>
  <si>
    <t>New Hirer/Upskilled/ Reskilled</t>
  </si>
  <si>
    <t>AI Capabilities*</t>
  </si>
  <si>
    <t>* Please select one or more of the following capabilities:</t>
  </si>
  <si>
    <t>a. AI For Smart City Operations</t>
  </si>
  <si>
    <t>c. Agentic Platforms</t>
  </si>
  <si>
    <t>d. AI Trust, Safety and Governance</t>
  </si>
  <si>
    <r>
      <rPr>
        <b/>
        <vertAlign val="superscript"/>
        <sz val="11"/>
        <rFont val="Calibri"/>
        <family val="2"/>
      </rPr>
      <t>1</t>
    </r>
    <r>
      <rPr>
        <b/>
        <sz val="11"/>
        <rFont val="Calibri"/>
        <family val="2"/>
      </rPr>
      <t xml:space="preserve"> Total annual salary includes: </t>
    </r>
  </si>
  <si>
    <t>HUMAN RESOURCES</t>
  </si>
  <si>
    <t>Date join</t>
  </si>
  <si>
    <t>Date left</t>
  </si>
  <si>
    <t>Academic qualifications 
(Doctorate, Bachelor of Engineering, Masters of Science)</t>
  </si>
  <si>
    <t>Designations</t>
  </si>
  <si>
    <t>[A]</t>
  </si>
  <si>
    <t>[B]</t>
  </si>
  <si>
    <t>HR Business Partner</t>
  </si>
  <si>
    <t>Staff Cost for RISC Claims</t>
  </si>
  <si>
    <t>b. Next Generation AI (including Physical AI, Multi-Agent AI, and Quantum with AI)</t>
  </si>
  <si>
    <r>
      <t xml:space="preserve">Total hours in employment (not adjusted for leave/PHs) </t>
    </r>
    <r>
      <rPr>
        <b/>
        <vertAlign val="superscript"/>
        <sz val="11"/>
        <color rgb="FF000000"/>
        <rFont val="Calibri"/>
        <family val="2"/>
      </rPr>
      <t>2</t>
    </r>
  </si>
  <si>
    <r>
      <rPr>
        <b/>
        <vertAlign val="superscript"/>
        <sz val="11"/>
        <color rgb="FF00B050"/>
        <rFont val="Calibri"/>
        <family val="2"/>
      </rPr>
      <t>2</t>
    </r>
    <r>
      <rPr>
        <b/>
        <sz val="11"/>
        <color rgb="FF00B050"/>
        <rFont val="Calibri"/>
        <family val="2"/>
      </rPr>
      <t xml:space="preserve"> Adjustments are made to exclude out weekends in computing total employment hours for the year</t>
    </r>
  </si>
  <si>
    <t>Participating Entities</t>
  </si>
  <si>
    <t>PL1</t>
  </si>
  <si>
    <t>PL2</t>
  </si>
  <si>
    <t>PL3</t>
  </si>
  <si>
    <t>PL4</t>
  </si>
  <si>
    <t>PL5</t>
  </si>
  <si>
    <t>AI For Smart City Operations</t>
  </si>
  <si>
    <t>Next Generation AI (including Physical AI, Multi-Agent AI, and Quantum with AI)</t>
  </si>
  <si>
    <t>Agentic Platforms</t>
  </si>
  <si>
    <t>AI Trust, Safety and Governance</t>
  </si>
  <si>
    <t>New Hire</t>
  </si>
  <si>
    <t>STAFF COST</t>
  </si>
  <si>
    <t>TIME SHEET</t>
  </si>
  <si>
    <t xml:space="preserve">   - The qualifying cost for salary refers to basic monthly salaries of qualifying personnel with such salary of at least S$5,000.</t>
  </si>
  <si>
    <t xml:space="preserve">   - All other costs (e.g. training costs, bonuses and allowances including annual wage supplements, and employer's CPF contributions, Cost of Living Allowance (COLA) &amp; Airfare) are not qualifying.</t>
  </si>
  <si>
    <r>
      <t>Total qualifying annual salary</t>
    </r>
    <r>
      <rPr>
        <b/>
        <vertAlign val="superscript"/>
        <sz val="11"/>
        <rFont val="Calibri"/>
        <family val="2"/>
      </rPr>
      <t>1</t>
    </r>
  </si>
  <si>
    <t xml:space="preserve">   - The qualifying costs for basic monthly salaries shall be capped at S$20,000 per calendar month per qualifying personnel.</t>
  </si>
  <si>
    <t>Actual monthly salary per IR8A</t>
  </si>
  <si>
    <t>[C1]</t>
  </si>
  <si>
    <t>[C2]</t>
  </si>
  <si>
    <t>[D2]</t>
  </si>
  <si>
    <r>
      <t xml:space="preserve">[D1] = [C2 - C1] * </t>
    </r>
    <r>
      <rPr>
        <sz val="11"/>
        <color rgb="FF00B050"/>
        <rFont val="Calibri"/>
        <family val="2"/>
      </rPr>
      <t>8.8</t>
    </r>
    <r>
      <rPr>
        <sz val="11"/>
        <rFont val="Calibri"/>
        <family val="2"/>
      </rPr>
      <t xml:space="preserve"> Hrs</t>
    </r>
  </si>
  <si>
    <t>Qualifying Personnel refers to the following:</t>
  </si>
  <si>
    <t>- Grantee’s employees directly working on the Project but excludes employees undertaking support functions such as administration and finance. Both permanent employees and contract staff are qualifying personnel.</t>
  </si>
  <si>
    <t>- They are directly working on the Project but excluding persons undertaking support functions such as administration and finance;</t>
  </si>
  <si>
    <t>- EDB is satisfied that their involvement has resulted in the building of local capability; and</t>
  </si>
  <si>
    <t>- The salaries of such persons are paid by the Grantee.</t>
  </si>
  <si>
    <t>- “Locals” refers to qualifying personnel who are Singapore Citizens or Singapore Permanent Residents, while “Foreigners” refers to all other persons.</t>
  </si>
  <si>
    <t>Participating Entity CTO</t>
  </si>
  <si>
    <t>- Employees of the Authorised Entity(s) directly working on the Project but excludes employees undertaking support functions such as administration and finance. Both permanent employees and contract staff are qualifying personnel.</t>
  </si>
  <si>
    <t>- Undergraduate and post-graduate students from local Institutes of Higher Learning (IHLs) and secondees from related parties of the Grantee or public research institutes, only if –</t>
  </si>
  <si>
    <t>Date of Completion for Upskilling or Reskilling</t>
  </si>
  <si>
    <t>Confirm not enjoying any other government cash grant incentive</t>
  </si>
  <si>
    <t>Local/ Foreigner</t>
  </si>
  <si>
    <t>[D3] = [D2/D1]</t>
  </si>
  <si>
    <t>[E] = [B * D3]</t>
  </si>
  <si>
    <t>Time spent on project (Hours)</t>
  </si>
  <si>
    <t xml:space="preserve">% of time spent on Project </t>
  </si>
  <si>
    <t>New Hirer/Upskilled/Reskilled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</si>
</sst>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[$-409]d\-mmm\-yy;@"/>
  </numFmts>
  <fonts count="3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b/>
      <sz val="8"/>
      <color theme="4" tint="-0.499984740745262"/>
      <name val="Aptos Narrow"/>
      <family val="2"/>
      <scheme val="minor"/>
    </font>
    <font>
      <b/>
      <sz val="18"/>
      <color rgb="FF000000"/>
      <name val="Calibri"/>
      <family val="2"/>
    </font>
    <font>
      <b/>
      <sz val="18"/>
      <color rgb="FF305496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2"/>
      <color rgb="FF203764"/>
      <name val="Calibri"/>
      <family val="2"/>
    </font>
    <font>
      <b/>
      <sz val="11"/>
      <color rgb="FF00B050"/>
      <name val="Calibri"/>
      <family val="2"/>
    </font>
    <font>
      <b/>
      <vertAlign val="superscript"/>
      <sz val="11"/>
      <color rgb="FF00B050"/>
      <name val="Calibri"/>
      <family val="2"/>
    </font>
    <font>
      <b/>
      <sz val="11"/>
      <name val="Calibri"/>
      <family val="2"/>
    </font>
    <font>
      <b/>
      <sz val="11"/>
      <color rgb="FF305496"/>
      <name val="Calibri"/>
      <family val="2"/>
    </font>
    <font>
      <b/>
      <sz val="11"/>
      <color rgb="FFFFFFFF"/>
      <name val="Calibri"/>
      <family val="2"/>
    </font>
    <font>
      <b/>
      <vertAlign val="superscript"/>
      <sz val="11"/>
      <color rgb="FFFFFFFF"/>
      <name val="Calibri"/>
      <family val="2"/>
    </font>
    <font>
      <b/>
      <sz val="12"/>
      <color rgb="FF305496"/>
      <name val="Calibri"/>
      <family val="2"/>
    </font>
    <font>
      <b/>
      <u/>
      <sz val="11"/>
      <color rgb="FF000000"/>
      <name val="Calibri"/>
      <family val="2"/>
    </font>
    <font>
      <sz val="8"/>
      <color rgb="FFFF0000"/>
      <name val="Calibri"/>
      <family val="2"/>
    </font>
    <font>
      <b/>
      <sz val="8"/>
      <color rgb="FF203764"/>
      <name val="Calibri"/>
      <family val="2"/>
    </font>
    <font>
      <sz val="10"/>
      <color rgb="FFFF0000"/>
      <name val="Calibri"/>
      <family val="2"/>
    </font>
    <font>
      <sz val="11"/>
      <color rgb="FFFFFFFF"/>
      <name val="Calibri"/>
      <family val="2"/>
    </font>
    <font>
      <b/>
      <sz val="11"/>
      <color rgb="FF203764"/>
      <name val="Calibri"/>
      <family val="2"/>
    </font>
    <font>
      <sz val="11"/>
      <color rgb="FF203764"/>
      <name val="Calibri"/>
      <family val="2"/>
    </font>
    <font>
      <sz val="14"/>
      <color rgb="FF203764"/>
      <name val="Calibri"/>
      <family val="2"/>
    </font>
    <font>
      <b/>
      <vertAlign val="superscript"/>
      <sz val="11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b/>
      <vertAlign val="superscript"/>
      <sz val="11"/>
      <color rgb="FF000000"/>
      <name val="Calibri"/>
      <family val="2"/>
    </font>
    <font>
      <sz val="11"/>
      <color rgb="FF00B050"/>
      <name val="Calibri"/>
      <family val="2"/>
    </font>
    <font>
      <sz val="11"/>
      <color rgb="FFFF0000"/>
      <name val="Calibri"/>
      <family val="2"/>
    </font>
    <font>
      <sz val="8"/>
      <color theme="1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333F4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theme="2"/>
        <bgColor rgb="FF000000"/>
      </patternFill>
    </fill>
    <fill>
      <patternFill patternType="solid">
        <fgColor theme="2" tint="-9.9978637043366805E-2"/>
        <bgColor rgb="FF000000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4">
    <xf numFmtId="0" fontId="0" fillId="0" borderId="0"/>
    <xf numFmtId="164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2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2" borderId="6" xfId="0" applyFill="1" applyBorder="1" applyAlignment="1">
      <alignment horizontal="center" vertical="top"/>
    </xf>
    <xf numFmtId="0" fontId="0" fillId="2" borderId="10" xfId="0" applyFill="1" applyBorder="1" applyAlignment="1">
      <alignment horizontal="center" vertical="top"/>
    </xf>
    <xf numFmtId="0" fontId="0" fillId="2" borderId="0" xfId="0" applyFill="1" applyAlignment="1">
      <alignment horizontal="right"/>
    </xf>
    <xf numFmtId="0" fontId="0" fillId="2" borderId="30" xfId="0" applyFill="1" applyBorder="1" applyAlignment="1">
      <alignment horizontal="center" vertical="top"/>
    </xf>
    <xf numFmtId="0" fontId="0" fillId="2" borderId="31" xfId="0" applyFill="1" applyBorder="1" applyAlignment="1">
      <alignment horizontal="center" vertical="top"/>
    </xf>
    <xf numFmtId="0" fontId="0" fillId="2" borderId="29" xfId="0" applyFill="1" applyBorder="1" applyAlignment="1">
      <alignment horizontal="center" vertical="top"/>
    </xf>
    <xf numFmtId="0" fontId="0" fillId="2" borderId="21" xfId="0" applyFill="1" applyBorder="1" applyAlignment="1">
      <alignment horizontal="center" vertical="top"/>
    </xf>
    <xf numFmtId="0" fontId="4" fillId="8" borderId="33" xfId="0" applyFont="1" applyFill="1" applyBorder="1" applyAlignment="1">
      <alignment horizontal="center"/>
    </xf>
    <xf numFmtId="0" fontId="4" fillId="8" borderId="18" xfId="0" applyFont="1" applyFill="1" applyBorder="1" applyAlignment="1">
      <alignment horizontal="center" vertical="top"/>
    </xf>
    <xf numFmtId="0" fontId="4" fillId="8" borderId="19" xfId="0" applyFont="1" applyFill="1" applyBorder="1" applyAlignment="1">
      <alignment horizontal="center" vertical="top"/>
    </xf>
    <xf numFmtId="0" fontId="2" fillId="8" borderId="35" xfId="0" applyFont="1" applyFill="1" applyBorder="1" applyAlignment="1">
      <alignment horizontal="center"/>
    </xf>
    <xf numFmtId="0" fontId="2" fillId="8" borderId="36" xfId="0" applyFont="1" applyFill="1" applyBorder="1"/>
    <xf numFmtId="0" fontId="2" fillId="8" borderId="2" xfId="0" applyFont="1" applyFill="1" applyBorder="1" applyAlignment="1">
      <alignment horizontal="center" vertical="top"/>
    </xf>
    <xf numFmtId="0" fontId="2" fillId="8" borderId="37" xfId="0" applyFont="1" applyFill="1" applyBorder="1" applyAlignment="1">
      <alignment horizontal="center"/>
    </xf>
    <xf numFmtId="0" fontId="2" fillId="8" borderId="20" xfId="0" applyFont="1" applyFill="1" applyBorder="1"/>
    <xf numFmtId="0" fontId="2" fillId="8" borderId="1" xfId="0" applyFont="1" applyFill="1" applyBorder="1" applyAlignment="1">
      <alignment horizontal="center" vertical="top"/>
    </xf>
    <xf numFmtId="0" fontId="2" fillId="8" borderId="38" xfId="0" applyFont="1" applyFill="1" applyBorder="1" applyAlignment="1">
      <alignment horizontal="center"/>
    </xf>
    <xf numFmtId="0" fontId="2" fillId="8" borderId="39" xfId="0" applyFont="1" applyFill="1" applyBorder="1"/>
    <xf numFmtId="0" fontId="2" fillId="8" borderId="4" xfId="0" applyFont="1" applyFill="1" applyBorder="1" applyAlignment="1">
      <alignment horizontal="center" vertical="top"/>
    </xf>
    <xf numFmtId="1" fontId="0" fillId="6" borderId="23" xfId="0" applyNumberFormat="1" applyFill="1" applyBorder="1" applyAlignment="1">
      <alignment horizontal="center" vertical="top"/>
    </xf>
    <xf numFmtId="1" fontId="0" fillId="6" borderId="24" xfId="0" applyNumberFormat="1" applyFill="1" applyBorder="1" applyAlignment="1">
      <alignment horizontal="center" vertical="top"/>
    </xf>
    <xf numFmtId="1" fontId="0" fillId="6" borderId="25" xfId="0" applyNumberFormat="1" applyFill="1" applyBorder="1" applyAlignment="1">
      <alignment horizontal="center" vertical="top"/>
    </xf>
    <xf numFmtId="1" fontId="0" fillId="6" borderId="14" xfId="0" applyNumberFormat="1" applyFill="1" applyBorder="1" applyAlignment="1">
      <alignment horizontal="center" vertical="top"/>
    </xf>
    <xf numFmtId="1" fontId="0" fillId="6" borderId="11" xfId="0" applyNumberFormat="1" applyFill="1" applyBorder="1" applyAlignment="1">
      <alignment horizontal="center" vertical="top"/>
    </xf>
    <xf numFmtId="1" fontId="0" fillId="6" borderId="26" xfId="0" applyNumberFormat="1" applyFill="1" applyBorder="1" applyAlignment="1">
      <alignment horizontal="center" vertical="top"/>
    </xf>
    <xf numFmtId="1" fontId="0" fillId="6" borderId="15" xfId="0" applyNumberFormat="1" applyFill="1" applyBorder="1" applyAlignment="1">
      <alignment horizontal="center" vertical="top"/>
    </xf>
    <xf numFmtId="1" fontId="0" fillId="6" borderId="16" xfId="0" applyNumberFormat="1" applyFill="1" applyBorder="1" applyAlignment="1">
      <alignment horizontal="center" vertical="top"/>
    </xf>
    <xf numFmtId="1" fontId="0" fillId="6" borderId="27" xfId="0" applyNumberFormat="1" applyFill="1" applyBorder="1" applyAlignment="1">
      <alignment horizontal="center" vertical="top"/>
    </xf>
    <xf numFmtId="0" fontId="1" fillId="11" borderId="35" xfId="0" applyFont="1" applyFill="1" applyBorder="1" applyAlignment="1">
      <alignment horizontal="center"/>
    </xf>
    <xf numFmtId="1" fontId="1" fillId="11" borderId="17" xfId="0" applyNumberFormat="1" applyFont="1" applyFill="1" applyBorder="1" applyAlignment="1">
      <alignment horizontal="center" vertical="top"/>
    </xf>
    <xf numFmtId="1" fontId="0" fillId="7" borderId="12" xfId="0" applyNumberFormat="1" applyFill="1" applyBorder="1" applyAlignment="1">
      <alignment horizontal="center" vertical="top"/>
    </xf>
    <xf numFmtId="1" fontId="0" fillId="7" borderId="40" xfId="0" applyNumberFormat="1" applyFill="1" applyBorder="1" applyAlignment="1">
      <alignment horizontal="center" vertical="top"/>
    </xf>
    <xf numFmtId="1" fontId="0" fillId="7" borderId="13" xfId="0" applyNumberFormat="1" applyFill="1" applyBorder="1" applyAlignment="1">
      <alignment horizontal="center" vertical="top"/>
    </xf>
    <xf numFmtId="1" fontId="2" fillId="8" borderId="17" xfId="0" applyNumberFormat="1" applyFont="1" applyFill="1" applyBorder="1" applyAlignment="1">
      <alignment horizontal="center" vertical="top"/>
    </xf>
    <xf numFmtId="1" fontId="0" fillId="6" borderId="12" xfId="0" applyNumberFormat="1" applyFill="1" applyBorder="1" applyAlignment="1">
      <alignment horizontal="center" vertical="top"/>
    </xf>
    <xf numFmtId="1" fontId="0" fillId="6" borderId="40" xfId="0" applyNumberFormat="1" applyFill="1" applyBorder="1" applyAlignment="1">
      <alignment horizontal="center" vertical="top"/>
    </xf>
    <xf numFmtId="1" fontId="0" fillId="6" borderId="13" xfId="0" applyNumberFormat="1" applyFill="1" applyBorder="1" applyAlignment="1">
      <alignment horizontal="center" vertical="top"/>
    </xf>
    <xf numFmtId="0" fontId="1" fillId="11" borderId="38" xfId="0" applyFont="1" applyFill="1" applyBorder="1" applyAlignment="1">
      <alignment horizontal="center"/>
    </xf>
    <xf numFmtId="1" fontId="5" fillId="8" borderId="29" xfId="0" applyNumberFormat="1" applyFont="1" applyFill="1" applyBorder="1" applyAlignment="1">
      <alignment horizontal="center" vertical="top"/>
    </xf>
    <xf numFmtId="1" fontId="5" fillId="8" borderId="30" xfId="0" applyNumberFormat="1" applyFont="1" applyFill="1" applyBorder="1" applyAlignment="1">
      <alignment horizontal="center" vertical="top"/>
    </xf>
    <xf numFmtId="1" fontId="5" fillId="8" borderId="31" xfId="0" applyNumberFormat="1" applyFont="1" applyFill="1" applyBorder="1" applyAlignment="1">
      <alignment horizontal="center" vertical="top"/>
    </xf>
    <xf numFmtId="1" fontId="5" fillId="10" borderId="21" xfId="0" applyNumberFormat="1" applyFont="1" applyFill="1" applyBorder="1" applyAlignment="1">
      <alignment horizontal="center" vertical="top"/>
    </xf>
    <xf numFmtId="1" fontId="5" fillId="8" borderId="21" xfId="0" applyNumberFormat="1" applyFont="1" applyFill="1" applyBorder="1" applyAlignment="1">
      <alignment horizontal="center" vertical="top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0" fillId="15" borderId="1" xfId="0" applyFill="1" applyBorder="1"/>
    <xf numFmtId="0" fontId="0" fillId="16" borderId="1" xfId="0" applyFill="1" applyBorder="1"/>
    <xf numFmtId="0" fontId="0" fillId="18" borderId="1" xfId="0" applyFill="1" applyBorder="1"/>
    <xf numFmtId="0" fontId="9" fillId="19" borderId="0" xfId="0" applyFont="1" applyFill="1" applyAlignment="1">
      <alignment horizontal="left"/>
    </xf>
    <xf numFmtId="0" fontId="10" fillId="19" borderId="0" xfId="0" applyFont="1" applyFill="1" applyAlignment="1">
      <alignment horizontal="left"/>
    </xf>
    <xf numFmtId="0" fontId="11" fillId="19" borderId="0" xfId="0" applyFont="1" applyFill="1"/>
    <xf numFmtId="0" fontId="12" fillId="19" borderId="0" xfId="0" applyFont="1" applyFill="1" applyAlignment="1">
      <alignment horizontal="left"/>
    </xf>
    <xf numFmtId="0" fontId="13" fillId="19" borderId="0" xfId="0" applyFont="1" applyFill="1" applyAlignment="1">
      <alignment horizontal="left"/>
    </xf>
    <xf numFmtId="0" fontId="14" fillId="19" borderId="0" xfId="0" applyFont="1" applyFill="1" applyAlignment="1">
      <alignment horizontal="left"/>
    </xf>
    <xf numFmtId="0" fontId="16" fillId="19" borderId="0" xfId="0" applyFont="1" applyFill="1" applyAlignment="1">
      <alignment horizontal="left"/>
    </xf>
    <xf numFmtId="0" fontId="17" fillId="21" borderId="5" xfId="0" applyFont="1" applyFill="1" applyBorder="1" applyAlignment="1">
      <alignment horizontal="left"/>
    </xf>
    <xf numFmtId="0" fontId="17" fillId="21" borderId="22" xfId="0" applyFont="1" applyFill="1" applyBorder="1" applyAlignment="1">
      <alignment horizontal="left"/>
    </xf>
    <xf numFmtId="0" fontId="11" fillId="21" borderId="22" xfId="0" applyFont="1" applyFill="1" applyBorder="1"/>
    <xf numFmtId="0" fontId="11" fillId="21" borderId="6" xfId="0" applyFont="1" applyFill="1" applyBorder="1"/>
    <xf numFmtId="0" fontId="11" fillId="19" borderId="11" xfId="0" applyFont="1" applyFill="1" applyBorder="1"/>
    <xf numFmtId="0" fontId="11" fillId="19" borderId="43" xfId="0" applyFont="1" applyFill="1" applyBorder="1"/>
    <xf numFmtId="0" fontId="20" fillId="24" borderId="14" xfId="0" applyFont="1" applyFill="1" applyBorder="1" applyAlignment="1">
      <alignment horizontal="left"/>
    </xf>
    <xf numFmtId="0" fontId="20" fillId="24" borderId="44" xfId="0" applyFont="1" applyFill="1" applyBorder="1" applyAlignment="1">
      <alignment horizontal="left"/>
    </xf>
    <xf numFmtId="0" fontId="11" fillId="24" borderId="11" xfId="0" applyFont="1" applyFill="1" applyBorder="1"/>
    <xf numFmtId="0" fontId="21" fillId="19" borderId="11" xfId="0" applyFont="1" applyFill="1" applyBorder="1" applyAlignment="1">
      <alignment horizontal="center"/>
    </xf>
    <xf numFmtId="0" fontId="21" fillId="19" borderId="11" xfId="0" applyFont="1" applyFill="1" applyBorder="1"/>
    <xf numFmtId="0" fontId="20" fillId="24" borderId="15" xfId="0" applyFont="1" applyFill="1" applyBorder="1" applyAlignment="1">
      <alignment horizontal="left"/>
    </xf>
    <xf numFmtId="0" fontId="20" fillId="24" borderId="42" xfId="0" applyFont="1" applyFill="1" applyBorder="1" applyAlignment="1">
      <alignment horizontal="left"/>
    </xf>
    <xf numFmtId="0" fontId="11" fillId="24" borderId="16" xfId="0" applyFont="1" applyFill="1" applyBorder="1"/>
    <xf numFmtId="0" fontId="11" fillId="19" borderId="16" xfId="0" applyFont="1" applyFill="1" applyBorder="1"/>
    <xf numFmtId="0" fontId="11" fillId="19" borderId="45" xfId="0" applyFont="1" applyFill="1" applyBorder="1"/>
    <xf numFmtId="0" fontId="12" fillId="19" borderId="0" xfId="0" applyFont="1" applyFill="1"/>
    <xf numFmtId="0" fontId="11" fillId="25" borderId="41" xfId="0" applyFont="1" applyFill="1" applyBorder="1"/>
    <xf numFmtId="0" fontId="22" fillId="25" borderId="41" xfId="0" applyFont="1" applyFill="1" applyBorder="1" applyAlignment="1">
      <alignment horizontal="right"/>
    </xf>
    <xf numFmtId="0" fontId="11" fillId="25" borderId="1" xfId="0" applyFont="1" applyFill="1" applyBorder="1"/>
    <xf numFmtId="0" fontId="23" fillId="19" borderId="0" xfId="0" applyFont="1" applyFill="1" applyAlignment="1">
      <alignment horizontal="right" vertical="top"/>
    </xf>
    <xf numFmtId="0" fontId="24" fillId="19" borderId="0" xfId="0" applyFont="1" applyFill="1" applyAlignment="1">
      <alignment horizontal="right"/>
    </xf>
    <xf numFmtId="0" fontId="12" fillId="23" borderId="11" xfId="0" applyFont="1" applyFill="1" applyBorder="1" applyAlignment="1">
      <alignment horizontal="center" vertical="center" wrapText="1"/>
    </xf>
    <xf numFmtId="0" fontId="12" fillId="23" borderId="26" xfId="0" applyFont="1" applyFill="1" applyBorder="1" applyAlignment="1">
      <alignment horizontal="center" vertical="center" wrapText="1"/>
    </xf>
    <xf numFmtId="0" fontId="11" fillId="19" borderId="0" xfId="0" applyFont="1" applyFill="1" applyAlignment="1">
      <alignment vertical="center" wrapText="1"/>
    </xf>
    <xf numFmtId="0" fontId="11" fillId="24" borderId="11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24" borderId="11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24" borderId="16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5" fillId="19" borderId="0" xfId="0" applyFont="1" applyFill="1" applyAlignment="1">
      <alignment vertical="top"/>
    </xf>
    <xf numFmtId="0" fontId="0" fillId="0" borderId="0" xfId="0" applyAlignment="1">
      <alignment wrapText="1"/>
    </xf>
    <xf numFmtId="0" fontId="11" fillId="19" borderId="44" xfId="0" applyFont="1" applyFill="1" applyBorder="1"/>
    <xf numFmtId="0" fontId="11" fillId="19" borderId="42" xfId="0" applyFont="1" applyFill="1" applyBorder="1"/>
    <xf numFmtId="0" fontId="12" fillId="23" borderId="44" xfId="0" applyFont="1" applyFill="1" applyBorder="1" applyAlignment="1">
      <alignment horizontal="center" vertical="center" wrapText="1"/>
    </xf>
    <xf numFmtId="0" fontId="12" fillId="19" borderId="0" xfId="0" applyFont="1" applyFill="1" applyAlignment="1" applyProtection="1">
      <alignment horizontal="left"/>
      <protection locked="0"/>
    </xf>
    <xf numFmtId="0" fontId="11" fillId="19" borderId="0" xfId="0" applyFont="1" applyFill="1" applyProtection="1">
      <protection locked="0"/>
    </xf>
    <xf numFmtId="0" fontId="25" fillId="19" borderId="0" xfId="0" applyFont="1" applyFill="1" applyAlignment="1" applyProtection="1">
      <alignment horizontal="center"/>
      <protection locked="0"/>
    </xf>
    <xf numFmtId="0" fontId="9" fillId="19" borderId="0" xfId="0" applyFont="1" applyFill="1" applyAlignment="1" applyProtection="1">
      <alignment horizontal="left"/>
      <protection locked="0"/>
    </xf>
    <xf numFmtId="0" fontId="11" fillId="20" borderId="41" xfId="0" applyFont="1" applyFill="1" applyBorder="1" applyProtection="1">
      <protection locked="0"/>
    </xf>
    <xf numFmtId="0" fontId="11" fillId="19" borderId="0" xfId="0" applyFont="1" applyFill="1" applyAlignment="1" applyProtection="1">
      <alignment horizontal="center"/>
      <protection locked="0"/>
    </xf>
    <xf numFmtId="0" fontId="35" fillId="19" borderId="0" xfId="0" applyFont="1" applyFill="1" applyAlignment="1" applyProtection="1">
      <alignment vertical="top"/>
      <protection locked="0"/>
    </xf>
    <xf numFmtId="0" fontId="26" fillId="19" borderId="0" xfId="0" applyFont="1" applyFill="1" applyAlignment="1" applyProtection="1">
      <alignment horizontal="center" wrapText="1"/>
      <protection locked="0"/>
    </xf>
    <xf numFmtId="0" fontId="27" fillId="19" borderId="0" xfId="0" applyFont="1" applyFill="1" applyProtection="1">
      <protection locked="0"/>
    </xf>
    <xf numFmtId="0" fontId="26" fillId="19" borderId="0" xfId="0" applyFont="1" applyFill="1" applyProtection="1">
      <protection locked="0"/>
    </xf>
    <xf numFmtId="0" fontId="28" fillId="19" borderId="0" xfId="0" applyFont="1" applyFill="1" applyProtection="1">
      <protection locked="0"/>
    </xf>
    <xf numFmtId="0" fontId="13" fillId="19" borderId="0" xfId="0" applyFont="1" applyFill="1" applyAlignment="1" applyProtection="1">
      <alignment horizontal="left"/>
      <protection locked="0"/>
    </xf>
    <xf numFmtId="0" fontId="16" fillId="19" borderId="0" xfId="0" applyFont="1" applyFill="1" applyAlignment="1" applyProtection="1">
      <alignment horizontal="left"/>
      <protection locked="0"/>
    </xf>
    <xf numFmtId="0" fontId="30" fillId="19" borderId="0" xfId="0" applyFont="1" applyFill="1" applyProtection="1">
      <protection locked="0"/>
    </xf>
    <xf numFmtId="0" fontId="16" fillId="19" borderId="0" xfId="0" applyFont="1" applyFill="1" applyAlignment="1" applyProtection="1">
      <alignment horizontal="center" wrapText="1"/>
      <protection locked="0"/>
    </xf>
    <xf numFmtId="0" fontId="16" fillId="19" borderId="0" xfId="0" applyFont="1" applyFill="1" applyProtection="1">
      <protection locked="0"/>
    </xf>
    <xf numFmtId="0" fontId="26" fillId="19" borderId="0" xfId="0" applyFont="1" applyFill="1" applyAlignment="1" applyProtection="1">
      <alignment horizontal="left"/>
      <protection locked="0"/>
    </xf>
    <xf numFmtId="0" fontId="26" fillId="19" borderId="0" xfId="0" quotePrefix="1" applyFont="1" applyFill="1" applyProtection="1">
      <protection locked="0"/>
    </xf>
    <xf numFmtId="0" fontId="14" fillId="19" borderId="0" xfId="0" quotePrefix="1" applyFont="1" applyFill="1" applyProtection="1">
      <protection locked="0"/>
    </xf>
    <xf numFmtId="0" fontId="18" fillId="19" borderId="0" xfId="0" applyFont="1" applyFill="1" applyAlignment="1" applyProtection="1">
      <alignment horizontal="center" wrapText="1"/>
      <protection locked="0"/>
    </xf>
    <xf numFmtId="0" fontId="18" fillId="19" borderId="0" xfId="0" applyFont="1" applyFill="1" applyProtection="1">
      <protection locked="0"/>
    </xf>
    <xf numFmtId="0" fontId="16" fillId="21" borderId="24" xfId="0" applyFont="1" applyFill="1" applyBorder="1" applyAlignment="1" applyProtection="1">
      <alignment horizontal="center" vertical="center" wrapText="1"/>
      <protection locked="0"/>
    </xf>
    <xf numFmtId="0" fontId="16" fillId="21" borderId="24" xfId="0" applyFont="1" applyFill="1" applyBorder="1" applyAlignment="1" applyProtection="1">
      <alignment horizontal="center" vertical="center"/>
      <protection locked="0"/>
    </xf>
    <xf numFmtId="4" fontId="16" fillId="26" borderId="25" xfId="2" applyNumberFormat="1" applyFont="1" applyFill="1" applyBorder="1" applyAlignment="1" applyProtection="1">
      <alignment horizontal="center" vertical="center" wrapText="1"/>
      <protection locked="0"/>
    </xf>
    <xf numFmtId="0" fontId="11" fillId="19" borderId="0" xfId="0" applyFont="1" applyFill="1" applyAlignment="1" applyProtection="1">
      <alignment vertical="center"/>
      <protection locked="0"/>
    </xf>
    <xf numFmtId="164" fontId="30" fillId="0" borderId="11" xfId="1" applyFont="1" applyFill="1" applyBorder="1" applyAlignment="1" applyProtection="1">
      <alignment horizontal="center"/>
      <protection locked="0"/>
    </xf>
    <xf numFmtId="165" fontId="30" fillId="0" borderId="11" xfId="2" applyNumberFormat="1" applyFont="1" applyFill="1" applyBorder="1" applyAlignment="1" applyProtection="1">
      <alignment horizontal="center"/>
      <protection locked="0"/>
    </xf>
    <xf numFmtId="0" fontId="20" fillId="19" borderId="0" xfId="0" applyFont="1" applyFill="1" applyAlignment="1" applyProtection="1">
      <alignment horizontal="left"/>
      <protection locked="0"/>
    </xf>
    <xf numFmtId="164" fontId="11" fillId="0" borderId="15" xfId="0" applyNumberFormat="1" applyFont="1" applyBorder="1" applyAlignment="1" applyProtection="1">
      <alignment horizontal="center"/>
      <protection locked="0"/>
    </xf>
    <xf numFmtId="0" fontId="11" fillId="19" borderId="16" xfId="0" applyFont="1" applyFill="1" applyBorder="1" applyProtection="1">
      <protection locked="0"/>
    </xf>
    <xf numFmtId="0" fontId="12" fillId="19" borderId="0" xfId="0" applyFont="1" applyFill="1" applyProtection="1">
      <protection locked="0"/>
    </xf>
    <xf numFmtId="0" fontId="22" fillId="25" borderId="41" xfId="0" applyFont="1" applyFill="1" applyBorder="1" applyAlignment="1" applyProtection="1">
      <alignment horizontal="right"/>
      <protection locked="0"/>
    </xf>
    <xf numFmtId="0" fontId="11" fillId="19" borderId="0" xfId="0" applyFont="1" applyFill="1" applyAlignment="1" applyProtection="1">
      <alignment horizontal="right"/>
      <protection locked="0"/>
    </xf>
    <xf numFmtId="0" fontId="11" fillId="25" borderId="1" xfId="0" applyFont="1" applyFill="1" applyBorder="1" applyProtection="1">
      <protection locked="0"/>
    </xf>
    <xf numFmtId="0" fontId="23" fillId="19" borderId="0" xfId="0" applyFont="1" applyFill="1" applyAlignment="1" applyProtection="1">
      <alignment horizontal="right" vertical="top"/>
      <protection locked="0"/>
    </xf>
    <xf numFmtId="0" fontId="27" fillId="19" borderId="0" xfId="0" quotePrefix="1" applyFont="1" applyFill="1" applyProtection="1">
      <protection locked="0"/>
    </xf>
    <xf numFmtId="0" fontId="11" fillId="24" borderId="46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24" borderId="51" xfId="0" applyFont="1" applyFill="1" applyBorder="1" applyAlignment="1">
      <alignment horizontal="left"/>
    </xf>
    <xf numFmtId="0" fontId="12" fillId="24" borderId="50" xfId="0" applyFont="1" applyFill="1" applyBorder="1" applyAlignment="1">
      <alignment horizontal="left"/>
    </xf>
    <xf numFmtId="0" fontId="11" fillId="24" borderId="46" xfId="0" applyFont="1" applyFill="1" applyBorder="1"/>
    <xf numFmtId="14" fontId="11" fillId="24" borderId="47" xfId="0" applyNumberFormat="1" applyFont="1" applyFill="1" applyBorder="1"/>
    <xf numFmtId="0" fontId="18" fillId="22" borderId="12" xfId="0" applyFont="1" applyFill="1" applyBorder="1" applyAlignment="1">
      <alignment horizontal="left" vertical="center" wrapText="1"/>
    </xf>
    <xf numFmtId="0" fontId="18" fillId="22" borderId="53" xfId="0" applyFont="1" applyFill="1" applyBorder="1" applyAlignment="1">
      <alignment horizontal="center" vertical="center" wrapText="1"/>
    </xf>
    <xf numFmtId="0" fontId="18" fillId="22" borderId="40" xfId="0" applyFont="1" applyFill="1" applyBorder="1" applyAlignment="1">
      <alignment vertical="center" wrapText="1"/>
    </xf>
    <xf numFmtId="0" fontId="18" fillId="22" borderId="13" xfId="0" applyFont="1" applyFill="1" applyBorder="1" applyAlignment="1">
      <alignment vertical="center" wrapText="1"/>
    </xf>
    <xf numFmtId="0" fontId="18" fillId="22" borderId="40" xfId="0" applyFont="1" applyFill="1" applyBorder="1" applyAlignment="1">
      <alignment horizontal="center" vertical="center" wrapText="1"/>
    </xf>
    <xf numFmtId="0" fontId="18" fillId="22" borderId="54" xfId="0" applyFont="1" applyFill="1" applyBorder="1" applyAlignment="1">
      <alignment horizontal="center" vertical="center" wrapText="1"/>
    </xf>
    <xf numFmtId="0" fontId="18" fillId="22" borderId="13" xfId="0" applyFont="1" applyFill="1" applyBorder="1" applyAlignment="1">
      <alignment horizontal="center" vertical="center" wrapText="1"/>
    </xf>
    <xf numFmtId="14" fontId="11" fillId="24" borderId="48" xfId="0" applyNumberFormat="1" applyFont="1" applyFill="1" applyBorder="1"/>
    <xf numFmtId="0" fontId="18" fillId="22" borderId="54" xfId="0" applyFont="1" applyFill="1" applyBorder="1" applyAlignment="1">
      <alignment vertical="center" wrapText="1"/>
    </xf>
    <xf numFmtId="0" fontId="22" fillId="25" borderId="0" xfId="0" applyFont="1" applyFill="1" applyAlignment="1" applyProtection="1">
      <alignment horizontal="right"/>
      <protection locked="0"/>
    </xf>
    <xf numFmtId="0" fontId="16" fillId="21" borderId="23" xfId="0" applyFont="1" applyFill="1" applyBorder="1" applyAlignment="1" applyProtection="1">
      <alignment horizontal="center" vertical="center" wrapText="1"/>
      <protection locked="0"/>
    </xf>
    <xf numFmtId="164" fontId="30" fillId="0" borderId="14" xfId="1" applyFont="1" applyFill="1" applyBorder="1" applyAlignment="1" applyProtection="1">
      <alignment horizontal="center"/>
      <protection locked="0"/>
    </xf>
    <xf numFmtId="0" fontId="12" fillId="21" borderId="24" xfId="0" applyFont="1" applyFill="1" applyBorder="1" applyAlignment="1" applyProtection="1">
      <alignment horizontal="center" vertical="center" wrapText="1"/>
      <protection locked="0"/>
    </xf>
    <xf numFmtId="0" fontId="16" fillId="21" borderId="55" xfId="0" applyFont="1" applyFill="1" applyBorder="1" applyAlignment="1" applyProtection="1">
      <alignment horizontal="center" vertical="center" wrapText="1"/>
      <protection locked="0"/>
    </xf>
    <xf numFmtId="0" fontId="11" fillId="27" borderId="11" xfId="0" applyFont="1" applyFill="1" applyBorder="1"/>
    <xf numFmtId="9" fontId="11" fillId="27" borderId="11" xfId="3" applyFont="1" applyFill="1" applyBorder="1" applyProtection="1"/>
    <xf numFmtId="0" fontId="18" fillId="22" borderId="32" xfId="0" applyFont="1" applyFill="1" applyBorder="1" applyAlignment="1">
      <alignment vertical="center"/>
    </xf>
    <xf numFmtId="0" fontId="12" fillId="24" borderId="23" xfId="0" applyFont="1" applyFill="1" applyBorder="1" applyAlignment="1">
      <alignment horizontal="left"/>
    </xf>
    <xf numFmtId="0" fontId="11" fillId="29" borderId="11" xfId="0" applyFont="1" applyFill="1" applyBorder="1"/>
    <xf numFmtId="0" fontId="11" fillId="29" borderId="16" xfId="0" applyFont="1" applyFill="1" applyBorder="1"/>
    <xf numFmtId="4" fontId="30" fillId="28" borderId="46" xfId="0" applyNumberFormat="1" applyFont="1" applyFill="1" applyBorder="1" applyAlignment="1" applyProtection="1">
      <alignment horizontal="center" vertical="center"/>
      <protection locked="0"/>
    </xf>
    <xf numFmtId="4" fontId="30" fillId="28" borderId="46" xfId="0" applyNumberFormat="1" applyFont="1" applyFill="1" applyBorder="1" applyAlignment="1" applyProtection="1">
      <alignment vertical="center"/>
      <protection locked="0"/>
    </xf>
    <xf numFmtId="4" fontId="30" fillId="28" borderId="52" xfId="0" applyNumberFormat="1" applyFont="1" applyFill="1" applyBorder="1" applyAlignment="1" applyProtection="1">
      <alignment vertical="center"/>
      <protection locked="0"/>
    </xf>
    <xf numFmtId="4" fontId="30" fillId="28" borderId="47" xfId="0" applyNumberFormat="1" applyFont="1" applyFill="1" applyBorder="1" applyAlignment="1" applyProtection="1">
      <alignment vertical="center" wrapText="1"/>
      <protection locked="0"/>
    </xf>
    <xf numFmtId="164" fontId="11" fillId="29" borderId="11" xfId="1" applyFont="1" applyFill="1" applyBorder="1" applyProtection="1"/>
    <xf numFmtId="0" fontId="11" fillId="27" borderId="16" xfId="0" applyFont="1" applyFill="1" applyBorder="1"/>
    <xf numFmtId="0" fontId="11" fillId="27" borderId="39" xfId="0" applyFont="1" applyFill="1" applyBorder="1"/>
    <xf numFmtId="0" fontId="11" fillId="0" borderId="0" xfId="0" applyFont="1" applyAlignment="1">
      <alignment horizontal="center"/>
    </xf>
    <xf numFmtId="0" fontId="12" fillId="23" borderId="43" xfId="0" applyFont="1" applyFill="1" applyBorder="1" applyAlignment="1">
      <alignment horizontal="center" vertical="center" wrapText="1"/>
    </xf>
    <xf numFmtId="0" fontId="18" fillId="22" borderId="57" xfId="0" applyFont="1" applyFill="1" applyBorder="1" applyAlignment="1">
      <alignment horizontal="center" vertical="center" wrapText="1"/>
    </xf>
    <xf numFmtId="0" fontId="11" fillId="24" borderId="49" xfId="0" applyFont="1" applyFill="1" applyBorder="1"/>
    <xf numFmtId="0" fontId="11" fillId="24" borderId="58" xfId="0" applyFont="1" applyFill="1" applyBorder="1"/>
    <xf numFmtId="0" fontId="11" fillId="24" borderId="59" xfId="0" applyFont="1" applyFill="1" applyBorder="1"/>
    <xf numFmtId="0" fontId="11" fillId="20" borderId="0" xfId="0" applyFont="1" applyFill="1" applyProtection="1">
      <protection locked="0"/>
    </xf>
    <xf numFmtId="0" fontId="11" fillId="25" borderId="0" xfId="0" applyFont="1" applyFill="1" applyProtection="1">
      <protection locked="0"/>
    </xf>
    <xf numFmtId="4" fontId="30" fillId="28" borderId="50" xfId="0" applyNumberFormat="1" applyFont="1" applyFill="1" applyBorder="1" applyAlignment="1" applyProtection="1">
      <alignment horizontal="center" vertical="center"/>
      <protection locked="0"/>
    </xf>
    <xf numFmtId="0" fontId="11" fillId="29" borderId="30" xfId="0" applyFont="1" applyFill="1" applyBorder="1"/>
    <xf numFmtId="0" fontId="17" fillId="21" borderId="22" xfId="0" applyFont="1" applyFill="1" applyBorder="1" applyAlignment="1" applyProtection="1">
      <alignment horizontal="left"/>
      <protection locked="0"/>
    </xf>
    <xf numFmtId="0" fontId="17" fillId="21" borderId="6" xfId="0" applyFont="1" applyFill="1" applyBorder="1" applyAlignment="1" applyProtection="1">
      <alignment horizontal="left"/>
      <protection locked="0"/>
    </xf>
    <xf numFmtId="0" fontId="11" fillId="29" borderId="46" xfId="0" applyFont="1" applyFill="1" applyBorder="1"/>
    <xf numFmtId="0" fontId="11" fillId="29" borderId="56" xfId="0" applyFont="1" applyFill="1" applyBorder="1"/>
    <xf numFmtId="0" fontId="18" fillId="22" borderId="11" xfId="0" applyFont="1" applyFill="1" applyBorder="1" applyAlignment="1">
      <alignment vertical="center" wrapText="1"/>
    </xf>
    <xf numFmtId="0" fontId="18" fillId="22" borderId="11" xfId="0" applyFont="1" applyFill="1" applyBorder="1" applyAlignment="1">
      <alignment horizontal="center" vertical="center" wrapText="1"/>
    </xf>
    <xf numFmtId="9" fontId="11" fillId="27" borderId="11" xfId="3" applyFont="1" applyFill="1" applyBorder="1"/>
    <xf numFmtId="164" fontId="34" fillId="19" borderId="26" xfId="1" applyFont="1" applyFill="1" applyBorder="1" applyAlignment="1" applyProtection="1">
      <alignment vertical="top" wrapText="1"/>
      <protection locked="0"/>
    </xf>
    <xf numFmtId="164" fontId="34" fillId="19" borderId="48" xfId="1" applyFont="1" applyFill="1" applyBorder="1" applyAlignment="1" applyProtection="1">
      <alignment vertical="top" wrapText="1"/>
      <protection locked="0"/>
    </xf>
    <xf numFmtId="0" fontId="7" fillId="15" borderId="41" xfId="0" applyFont="1" applyFill="1" applyBorder="1" applyAlignment="1">
      <alignment horizontal="center"/>
    </xf>
    <xf numFmtId="0" fontId="8" fillId="2" borderId="0" xfId="0" applyFont="1" applyFill="1" applyAlignment="1">
      <alignment horizontal="center" vertical="top"/>
    </xf>
    <xf numFmtId="0" fontId="4" fillId="13" borderId="2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center" vertical="center" wrapText="1"/>
    </xf>
    <xf numFmtId="0" fontId="7" fillId="18" borderId="41" xfId="0" applyFont="1" applyFill="1" applyBorder="1" applyAlignment="1">
      <alignment horizontal="center"/>
    </xf>
    <xf numFmtId="0" fontId="7" fillId="16" borderId="41" xfId="0" applyFont="1" applyFill="1" applyBorder="1" applyAlignment="1">
      <alignment horizontal="center"/>
    </xf>
    <xf numFmtId="0" fontId="1" fillId="11" borderId="36" xfId="0" applyFont="1" applyFill="1" applyBorder="1"/>
    <xf numFmtId="0" fontId="1" fillId="11" borderId="6" xfId="0" applyFont="1" applyFill="1" applyBorder="1"/>
    <xf numFmtId="0" fontId="2" fillId="8" borderId="36" xfId="0" applyFont="1" applyFill="1" applyBorder="1"/>
    <xf numFmtId="0" fontId="2" fillId="8" borderId="6" xfId="0" applyFont="1" applyFill="1" applyBorder="1"/>
    <xf numFmtId="0" fontId="4" fillId="5" borderId="23" xfId="0" applyFont="1" applyFill="1" applyBorder="1" applyAlignment="1">
      <alignment horizontal="center" vertical="top"/>
    </xf>
    <xf numFmtId="0" fontId="4" fillId="5" borderId="24" xfId="0" applyFont="1" applyFill="1" applyBorder="1" applyAlignment="1">
      <alignment horizontal="center" vertical="top"/>
    </xf>
    <xf numFmtId="0" fontId="4" fillId="5" borderId="25" xfId="0" applyFont="1" applyFill="1" applyBorder="1" applyAlignment="1">
      <alignment horizontal="center" vertical="top"/>
    </xf>
    <xf numFmtId="0" fontId="4" fillId="12" borderId="29" xfId="0" applyFont="1" applyFill="1" applyBorder="1" applyAlignment="1">
      <alignment horizontal="center" vertical="top" wrapText="1"/>
    </xf>
    <xf numFmtId="0" fontId="4" fillId="12" borderId="34" xfId="0" applyFont="1" applyFill="1" applyBorder="1" applyAlignment="1">
      <alignment horizontal="center" vertical="top" wrapText="1"/>
    </xf>
    <xf numFmtId="0" fontId="1" fillId="17" borderId="5" xfId="0" applyFont="1" applyFill="1" applyBorder="1" applyAlignment="1">
      <alignment horizontal="center" vertical="top"/>
    </xf>
    <xf numFmtId="0" fontId="1" fillId="17" borderId="22" xfId="0" applyFont="1" applyFill="1" applyBorder="1" applyAlignment="1">
      <alignment horizontal="center" vertical="top"/>
    </xf>
    <xf numFmtId="0" fontId="1" fillId="17" borderId="6" xfId="0" applyFont="1" applyFill="1" applyBorder="1" applyAlignment="1">
      <alignment horizontal="center" vertical="top"/>
    </xf>
    <xf numFmtId="0" fontId="1" fillId="3" borderId="28" xfId="0" applyFont="1" applyFill="1" applyBorder="1" applyAlignment="1">
      <alignment horizontal="center" vertical="top" wrapText="1"/>
    </xf>
    <xf numFmtId="0" fontId="1" fillId="3" borderId="32" xfId="0" applyFont="1" applyFill="1" applyBorder="1" applyAlignment="1">
      <alignment horizontal="center" vertical="top" wrapText="1"/>
    </xf>
    <xf numFmtId="0" fontId="1" fillId="11" borderId="39" xfId="0" applyFont="1" applyFill="1" applyBorder="1"/>
    <xf numFmtId="0" fontId="1" fillId="11" borderId="10" xfId="0" applyFont="1" applyFill="1" applyBorder="1"/>
    <xf numFmtId="1" fontId="2" fillId="8" borderId="2" xfId="0" applyNumberFormat="1" applyFont="1" applyFill="1" applyBorder="1" applyAlignment="1">
      <alignment horizontal="center" vertical="center"/>
    </xf>
    <xf numFmtId="1" fontId="2" fillId="8" borderId="3" xfId="0" applyNumberFormat="1" applyFont="1" applyFill="1" applyBorder="1" applyAlignment="1">
      <alignment horizontal="center" vertical="center"/>
    </xf>
    <xf numFmtId="1" fontId="2" fillId="8" borderId="4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4" borderId="6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1" fillId="4" borderId="8" xfId="0" applyFont="1" applyFill="1" applyBorder="1" applyAlignment="1">
      <alignment horizontal="left" vertical="center" wrapText="1"/>
    </xf>
    <xf numFmtId="0" fontId="1" fillId="4" borderId="9" xfId="0" applyFont="1" applyFill="1" applyBorder="1" applyAlignment="1">
      <alignment horizontal="left" vertical="center" wrapText="1"/>
    </xf>
    <xf numFmtId="0" fontId="1" fillId="4" borderId="10" xfId="0" applyFont="1" applyFill="1" applyBorder="1" applyAlignment="1">
      <alignment horizontal="left" vertical="center" wrapText="1"/>
    </xf>
    <xf numFmtId="0" fontId="4" fillId="9" borderId="5" xfId="0" applyFont="1" applyFill="1" applyBorder="1" applyAlignment="1">
      <alignment horizontal="center" vertical="top"/>
    </xf>
    <xf numFmtId="0" fontId="4" fillId="9" borderId="22" xfId="0" applyFont="1" applyFill="1" applyBorder="1" applyAlignment="1">
      <alignment horizontal="center" vertical="top"/>
    </xf>
    <xf numFmtId="0" fontId="4" fillId="9" borderId="6" xfId="0" applyFont="1" applyFill="1" applyBorder="1" applyAlignment="1">
      <alignment horizontal="center" vertical="top"/>
    </xf>
    <xf numFmtId="0" fontId="1" fillId="14" borderId="5" xfId="0" applyFont="1" applyFill="1" applyBorder="1" applyAlignment="1">
      <alignment horizontal="center" vertical="top"/>
    </xf>
    <xf numFmtId="0" fontId="1" fillId="14" borderId="22" xfId="0" applyFont="1" applyFill="1" applyBorder="1" applyAlignment="1">
      <alignment horizontal="center" vertical="top"/>
    </xf>
    <xf numFmtId="0" fontId="1" fillId="14" borderId="6" xfId="0" applyFont="1" applyFill="1" applyBorder="1" applyAlignment="1">
      <alignment horizontal="center" vertical="top"/>
    </xf>
    <xf numFmtId="0" fontId="18" fillId="22" borderId="22" xfId="0" applyFont="1" applyFill="1" applyBorder="1" applyAlignment="1">
      <alignment horizontal="center"/>
    </xf>
    <xf numFmtId="0" fontId="18" fillId="22" borderId="6" xfId="0" applyFont="1" applyFill="1" applyBorder="1" applyAlignment="1">
      <alignment horizontal="center"/>
    </xf>
    <xf numFmtId="0" fontId="11" fillId="28" borderId="49" xfId="0" applyFont="1" applyFill="1" applyBorder="1" applyAlignment="1">
      <alignment horizontal="center"/>
    </xf>
    <xf numFmtId="0" fontId="17" fillId="21" borderId="28" xfId="0" applyFont="1" applyFill="1" applyBorder="1" applyAlignment="1" applyProtection="1">
      <alignment horizontal="left"/>
      <protection locked="0"/>
    </xf>
    <xf numFmtId="0" fontId="17" fillId="21" borderId="22" xfId="0" applyFont="1" applyFill="1" applyBorder="1" applyAlignment="1" applyProtection="1">
      <alignment horizontal="left"/>
      <protection locked="0"/>
    </xf>
  </cellXfs>
  <cellStyles count="4">
    <cellStyle name="Comma" xfId="1" builtinId="3"/>
    <cellStyle name="Comma 2" xfId="2" xr:uid="{DD85A978-9986-4C5F-9B96-BB15140D9F60}"/>
    <cellStyle name="Normal" xfId="0" builtinId="0"/>
    <cellStyle name="Percent" xfId="3" builtinId="5"/>
  </cellStyles>
  <dxfs count="19">
    <dxf>
      <fill>
        <patternFill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m/d/yyyy"/>
      <fill>
        <patternFill patternType="solid">
          <fgColor rgb="FF000000"/>
          <bgColor rgb="FFD9E1F2"/>
        </patternFill>
      </fill>
      <border diagonalUp="0" diagonalDown="0">
        <left style="thin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000000"/>
          <bgColor rgb="FFD9E1F2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D9D9D9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32364D-555B-4974-869F-1FA5A5E25CB5}" name="Table3" displayName="Table3" ref="L18:Z68" totalsRowShown="0" headerRowDxfId="18" dataDxfId="17" tableBorderDxfId="16">
  <autoFilter ref="L18:Z68" xr:uid="{8E32364D-555B-4974-869F-1FA5A5E25CB5}"/>
  <tableColumns count="15">
    <tableColumn id="1" xr3:uid="{9AF4A0B2-1FFD-40A2-9BC0-A4E3F70A01D3}" name="New Hirer/Upskilled/Reskilled" dataDxfId="15"/>
    <tableColumn id="2" xr3:uid="{9AD00CE6-BB5A-4FCB-9851-8116FA43638D}" name="Date of Completion for Upskilling or Reskilling" dataDxfId="14"/>
    <tableColumn id="3" xr3:uid="{F69E8B76-FD11-458E-AF5C-30AC6175B06A}" name="Jan" dataDxfId="13"/>
    <tableColumn id="4" xr3:uid="{7DEDD344-FD97-4271-8885-8D488A33ABFA}" name="Feb" dataDxfId="12"/>
    <tableColumn id="5" xr3:uid="{D81284E0-0685-4959-8943-7B60D0D28F2B}" name="Mar" dataDxfId="11"/>
    <tableColumn id="6" xr3:uid="{55C79D74-E321-4E13-8088-B362A7A9E8BB}" name="Apr" dataDxfId="10"/>
    <tableColumn id="7" xr3:uid="{D88D8C3A-3185-448F-8A5E-4889C817E313}" name="May" dataDxfId="9"/>
    <tableColumn id="8" xr3:uid="{AC323BBE-C0DF-4871-A694-68BEFC41CB0E}" name="Jun" dataDxfId="8"/>
    <tableColumn id="9" xr3:uid="{189FEC98-1B40-4845-AF8E-B0DEFF02D6C7}" name="Jul" dataDxfId="7"/>
    <tableColumn id="10" xr3:uid="{3868DCC5-3D11-4433-B1DE-A010DB22AD52}" name="Aug" dataDxfId="6"/>
    <tableColumn id="11" xr3:uid="{0E37784E-F3CD-49BA-BF45-294DEB80F830}" name="Sep" dataDxfId="5"/>
    <tableColumn id="12" xr3:uid="{A5688CFB-8922-4591-B104-67232F5CA888}" name="Oct" dataDxfId="4"/>
    <tableColumn id="13" xr3:uid="{7CB13453-5407-4AC3-98ED-AD239C19FE96}" name="Nov" dataDxfId="3"/>
    <tableColumn id="14" xr3:uid="{0130B580-332B-4DBE-8421-20F61848187C}" name="Dec" dataDxfId="2"/>
    <tableColumn id="15" xr3:uid="{64A192BD-7FF7-4F23-8BAB-DAC2E461A288}" name="Total" dataDxfId="1">
      <calculatedColumnFormula>SUM(N19:Y19)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99788-0C5A-4159-8146-D4465C8AA877}">
  <dimension ref="B1:W34"/>
  <sheetViews>
    <sheetView workbookViewId="0">
      <pane xSplit="5" topLeftCell="F1" activePane="topRight" state="frozen"/>
      <selection pane="topRight" activeCell="C11" sqref="C11:D11"/>
    </sheetView>
  </sheetViews>
  <sheetFormatPr defaultColWidth="8.81640625" defaultRowHeight="14.5" x14ac:dyDescent="0.35"/>
  <cols>
    <col min="1" max="1" width="1.453125" style="1" customWidth="1"/>
    <col min="2" max="2" width="6.81640625" style="3" customWidth="1"/>
    <col min="3" max="3" width="35.6328125" style="1" customWidth="1"/>
    <col min="4" max="4" width="11.54296875" style="6" customWidth="1"/>
    <col min="5" max="5" width="11.81640625" style="6" customWidth="1"/>
    <col min="6" max="6" width="1.6328125" style="6" customWidth="1"/>
    <col min="7" max="7" width="9.453125" style="6" customWidth="1"/>
    <col min="8" max="8" width="11.81640625" style="6" customWidth="1"/>
    <col min="9" max="9" width="9.36328125" style="6" customWidth="1"/>
    <col min="10" max="10" width="13.90625" style="6" customWidth="1"/>
    <col min="11" max="11" width="7.90625" style="6" customWidth="1"/>
    <col min="12" max="12" width="1.6328125" style="6" customWidth="1"/>
    <col min="13" max="13" width="9.453125" style="6" customWidth="1"/>
    <col min="14" max="14" width="11.81640625" style="1" customWidth="1"/>
    <col min="15" max="15" width="9.36328125" style="1" customWidth="1"/>
    <col min="16" max="16" width="13.90625" style="1" customWidth="1"/>
    <col min="17" max="17" width="7.90625" style="1" customWidth="1"/>
    <col min="18" max="18" width="1.08984375" style="1" customWidth="1"/>
    <col min="19" max="19" width="9.453125" style="6" customWidth="1"/>
    <col min="20" max="20" width="11.81640625" style="1" customWidth="1"/>
    <col min="21" max="21" width="9.36328125" style="1" customWidth="1"/>
    <col min="22" max="22" width="13.90625" style="1" customWidth="1"/>
    <col min="23" max="23" width="7.90625" style="1" customWidth="1"/>
    <col min="24" max="16384" width="8.81640625" style="1"/>
  </cols>
  <sheetData>
    <row r="1" spans="2:23" ht="15" thickBot="1" x14ac:dyDescent="0.4"/>
    <row r="2" spans="2:23" ht="15" customHeight="1" thickBot="1" x14ac:dyDescent="0.4">
      <c r="B2" s="184" t="s">
        <v>0</v>
      </c>
      <c r="C2" s="211" t="s">
        <v>1</v>
      </c>
      <c r="D2" s="212"/>
      <c r="E2" s="208" t="s">
        <v>21</v>
      </c>
      <c r="F2" s="50"/>
      <c r="G2" s="198" t="s">
        <v>29</v>
      </c>
      <c r="H2" s="199"/>
      <c r="I2" s="199"/>
      <c r="J2" s="199"/>
      <c r="K2" s="200"/>
      <c r="M2" s="217" t="s">
        <v>34</v>
      </c>
      <c r="N2" s="218"/>
      <c r="O2" s="218"/>
      <c r="P2" s="218"/>
      <c r="Q2" s="219"/>
      <c r="S2" s="220" t="s">
        <v>35</v>
      </c>
      <c r="T2" s="221"/>
      <c r="U2" s="221"/>
      <c r="V2" s="221"/>
      <c r="W2" s="222"/>
    </row>
    <row r="3" spans="2:23" s="2" customFormat="1" ht="14.5" customHeight="1" x14ac:dyDescent="0.35">
      <c r="B3" s="185"/>
      <c r="C3" s="213"/>
      <c r="D3" s="214"/>
      <c r="E3" s="209"/>
      <c r="F3" s="50"/>
      <c r="G3" s="201" t="s">
        <v>24</v>
      </c>
      <c r="H3" s="193" t="s">
        <v>26</v>
      </c>
      <c r="I3" s="194"/>
      <c r="J3" s="195"/>
      <c r="K3" s="196" t="s">
        <v>33</v>
      </c>
      <c r="L3" s="5"/>
      <c r="M3" s="201" t="s">
        <v>24</v>
      </c>
      <c r="N3" s="193" t="s">
        <v>26</v>
      </c>
      <c r="O3" s="194"/>
      <c r="P3" s="195"/>
      <c r="Q3" s="196" t="s">
        <v>33</v>
      </c>
      <c r="S3" s="201" t="s">
        <v>24</v>
      </c>
      <c r="T3" s="193" t="s">
        <v>26</v>
      </c>
      <c r="U3" s="194"/>
      <c r="V3" s="195"/>
      <c r="W3" s="196" t="s">
        <v>33</v>
      </c>
    </row>
    <row r="4" spans="2:23" s="2" customFormat="1" ht="15" thickBot="1" x14ac:dyDescent="0.4">
      <c r="B4" s="186"/>
      <c r="C4" s="215"/>
      <c r="D4" s="216"/>
      <c r="E4" s="210"/>
      <c r="F4" s="50"/>
      <c r="G4" s="202"/>
      <c r="H4" s="14" t="s">
        <v>30</v>
      </c>
      <c r="I4" s="15" t="s">
        <v>31</v>
      </c>
      <c r="J4" s="16" t="s">
        <v>32</v>
      </c>
      <c r="K4" s="197"/>
      <c r="L4" s="5"/>
      <c r="M4" s="202"/>
      <c r="N4" s="14" t="s">
        <v>30</v>
      </c>
      <c r="O4" s="15" t="s">
        <v>31</v>
      </c>
      <c r="P4" s="16" t="s">
        <v>32</v>
      </c>
      <c r="Q4" s="197"/>
      <c r="S4" s="202"/>
      <c r="T4" s="14" t="s">
        <v>30</v>
      </c>
      <c r="U4" s="15" t="s">
        <v>31</v>
      </c>
      <c r="V4" s="16" t="s">
        <v>32</v>
      </c>
      <c r="W4" s="197"/>
    </row>
    <row r="5" spans="2:23" ht="15" thickBot="1" x14ac:dyDescent="0.4">
      <c r="B5" s="17">
        <v>1</v>
      </c>
      <c r="C5" s="18" t="s">
        <v>2</v>
      </c>
      <c r="D5" s="19" t="s">
        <v>3</v>
      </c>
      <c r="E5" s="12"/>
      <c r="G5" s="205">
        <f>SUM(H5:K7)</f>
        <v>0</v>
      </c>
      <c r="H5" s="26"/>
      <c r="I5" s="27"/>
      <c r="J5" s="28"/>
      <c r="K5" s="45"/>
      <c r="M5" s="205">
        <f>SUM(N5:Q7)</f>
        <v>0</v>
      </c>
      <c r="N5" s="26"/>
      <c r="O5" s="27"/>
      <c r="P5" s="28"/>
      <c r="Q5" s="45"/>
      <c r="S5" s="205">
        <f>SUM(T5:W7)</f>
        <v>0</v>
      </c>
      <c r="T5" s="26"/>
      <c r="U5" s="27"/>
      <c r="V5" s="28"/>
      <c r="W5" s="45"/>
    </row>
    <row r="6" spans="2:23" ht="15" customHeight="1" thickBot="1" x14ac:dyDescent="0.4">
      <c r="B6" s="20"/>
      <c r="C6" s="21"/>
      <c r="D6" s="22" t="s">
        <v>4</v>
      </c>
      <c r="E6" s="10"/>
      <c r="G6" s="206"/>
      <c r="H6" s="29"/>
      <c r="I6" s="30"/>
      <c r="J6" s="31"/>
      <c r="K6" s="46"/>
      <c r="M6" s="206"/>
      <c r="N6" s="29"/>
      <c r="O6" s="30"/>
      <c r="P6" s="31"/>
      <c r="Q6" s="46"/>
      <c r="S6" s="206"/>
      <c r="T6" s="29"/>
      <c r="U6" s="30"/>
      <c r="V6" s="31"/>
      <c r="W6" s="46"/>
    </row>
    <row r="7" spans="2:23" ht="15" thickBot="1" x14ac:dyDescent="0.4">
      <c r="B7" s="23"/>
      <c r="C7" s="24"/>
      <c r="D7" s="25" t="s">
        <v>5</v>
      </c>
      <c r="E7" s="11"/>
      <c r="G7" s="207"/>
      <c r="H7" s="32"/>
      <c r="I7" s="33"/>
      <c r="J7" s="34"/>
      <c r="K7" s="47"/>
      <c r="M7" s="207"/>
      <c r="N7" s="32"/>
      <c r="O7" s="33"/>
      <c r="P7" s="34"/>
      <c r="Q7" s="47"/>
      <c r="S7" s="207"/>
      <c r="T7" s="32"/>
      <c r="U7" s="33"/>
      <c r="V7" s="34"/>
      <c r="W7" s="47"/>
    </row>
    <row r="8" spans="2:23" ht="15" thickBot="1" x14ac:dyDescent="0.4">
      <c r="B8" s="35">
        <f>B5+1</f>
        <v>2</v>
      </c>
      <c r="C8" s="189" t="s">
        <v>6</v>
      </c>
      <c r="D8" s="190"/>
      <c r="E8" s="7"/>
      <c r="G8" s="36">
        <f t="shared" ref="G8:G22" si="0">SUM(H8:K8)</f>
        <v>0</v>
      </c>
      <c r="H8" s="37"/>
      <c r="I8" s="38"/>
      <c r="J8" s="39"/>
      <c r="K8" s="48"/>
      <c r="M8" s="36">
        <f t="shared" ref="M8:M22" si="1">SUM(N8:Q8)</f>
        <v>0</v>
      </c>
      <c r="N8" s="37"/>
      <c r="O8" s="38"/>
      <c r="P8" s="39"/>
      <c r="Q8" s="48"/>
      <c r="S8" s="36">
        <f t="shared" ref="S8:S22" si="2">SUM(T8:W8)</f>
        <v>0</v>
      </c>
      <c r="T8" s="37"/>
      <c r="U8" s="38"/>
      <c r="V8" s="39"/>
      <c r="W8" s="48"/>
    </row>
    <row r="9" spans="2:23" ht="15" thickBot="1" x14ac:dyDescent="0.4">
      <c r="B9" s="17">
        <f t="shared" ref="B9:B22" si="3">B8+1</f>
        <v>3</v>
      </c>
      <c r="C9" s="191" t="s">
        <v>7</v>
      </c>
      <c r="D9" s="192"/>
      <c r="E9" s="7"/>
      <c r="G9" s="40">
        <f t="shared" si="0"/>
        <v>0</v>
      </c>
      <c r="H9" s="41"/>
      <c r="I9" s="42"/>
      <c r="J9" s="43"/>
      <c r="K9" s="49"/>
      <c r="M9" s="40">
        <f t="shared" si="1"/>
        <v>0</v>
      </c>
      <c r="N9" s="41"/>
      <c r="O9" s="42"/>
      <c r="P9" s="43"/>
      <c r="Q9" s="49"/>
      <c r="S9" s="40">
        <f t="shared" si="2"/>
        <v>0</v>
      </c>
      <c r="T9" s="41"/>
      <c r="U9" s="42"/>
      <c r="V9" s="43"/>
      <c r="W9" s="49"/>
    </row>
    <row r="10" spans="2:23" ht="15" thickBot="1" x14ac:dyDescent="0.4">
      <c r="B10" s="35">
        <f t="shared" si="3"/>
        <v>4</v>
      </c>
      <c r="C10" s="189" t="s">
        <v>8</v>
      </c>
      <c r="D10" s="190"/>
      <c r="E10" s="7"/>
      <c r="G10" s="36">
        <f t="shared" si="0"/>
        <v>0</v>
      </c>
      <c r="H10" s="37"/>
      <c r="I10" s="38"/>
      <c r="J10" s="39"/>
      <c r="K10" s="48"/>
      <c r="M10" s="36">
        <f t="shared" si="1"/>
        <v>0</v>
      </c>
      <c r="N10" s="37"/>
      <c r="O10" s="38"/>
      <c r="P10" s="39"/>
      <c r="Q10" s="48"/>
      <c r="S10" s="36">
        <f t="shared" si="2"/>
        <v>0</v>
      </c>
      <c r="T10" s="37"/>
      <c r="U10" s="38"/>
      <c r="V10" s="39"/>
      <c r="W10" s="48"/>
    </row>
    <row r="11" spans="2:23" ht="15" thickBot="1" x14ac:dyDescent="0.4">
      <c r="B11" s="17">
        <f t="shared" si="3"/>
        <v>5</v>
      </c>
      <c r="C11" s="191" t="s">
        <v>9</v>
      </c>
      <c r="D11" s="192"/>
      <c r="E11" s="7"/>
      <c r="G11" s="40">
        <f t="shared" si="0"/>
        <v>0</v>
      </c>
      <c r="H11" s="41"/>
      <c r="I11" s="42"/>
      <c r="J11" s="43"/>
      <c r="K11" s="49"/>
      <c r="M11" s="40">
        <f t="shared" si="1"/>
        <v>0</v>
      </c>
      <c r="N11" s="41"/>
      <c r="O11" s="42"/>
      <c r="P11" s="43"/>
      <c r="Q11" s="49"/>
      <c r="S11" s="40">
        <f t="shared" si="2"/>
        <v>0</v>
      </c>
      <c r="T11" s="41"/>
      <c r="U11" s="42"/>
      <c r="V11" s="43"/>
      <c r="W11" s="49"/>
    </row>
    <row r="12" spans="2:23" ht="15" thickBot="1" x14ac:dyDescent="0.4">
      <c r="B12" s="35">
        <f t="shared" si="3"/>
        <v>6</v>
      </c>
      <c r="C12" s="189" t="s">
        <v>10</v>
      </c>
      <c r="D12" s="190"/>
      <c r="E12" s="7"/>
      <c r="G12" s="36">
        <f t="shared" si="0"/>
        <v>0</v>
      </c>
      <c r="H12" s="37"/>
      <c r="I12" s="38"/>
      <c r="J12" s="39"/>
      <c r="K12" s="48"/>
      <c r="M12" s="36">
        <f t="shared" si="1"/>
        <v>0</v>
      </c>
      <c r="N12" s="37"/>
      <c r="O12" s="38"/>
      <c r="P12" s="39"/>
      <c r="Q12" s="48"/>
      <c r="S12" s="36">
        <f t="shared" si="2"/>
        <v>0</v>
      </c>
      <c r="T12" s="37"/>
      <c r="U12" s="38"/>
      <c r="V12" s="39"/>
      <c r="W12" s="48"/>
    </row>
    <row r="13" spans="2:23" ht="15" thickBot="1" x14ac:dyDescent="0.4">
      <c r="B13" s="17">
        <f t="shared" si="3"/>
        <v>7</v>
      </c>
      <c r="C13" s="191" t="s">
        <v>11</v>
      </c>
      <c r="D13" s="192"/>
      <c r="E13" s="7"/>
      <c r="G13" s="40">
        <f t="shared" si="0"/>
        <v>0</v>
      </c>
      <c r="H13" s="41"/>
      <c r="I13" s="42"/>
      <c r="J13" s="43"/>
      <c r="K13" s="49"/>
      <c r="M13" s="40">
        <f t="shared" si="1"/>
        <v>0</v>
      </c>
      <c r="N13" s="41"/>
      <c r="O13" s="42"/>
      <c r="P13" s="43"/>
      <c r="Q13" s="49"/>
      <c r="S13" s="40">
        <f t="shared" si="2"/>
        <v>0</v>
      </c>
      <c r="T13" s="41"/>
      <c r="U13" s="42"/>
      <c r="V13" s="43"/>
      <c r="W13" s="49"/>
    </row>
    <row r="14" spans="2:23" ht="15" thickBot="1" x14ac:dyDescent="0.4">
      <c r="B14" s="35">
        <f t="shared" si="3"/>
        <v>8</v>
      </c>
      <c r="C14" s="189" t="s">
        <v>12</v>
      </c>
      <c r="D14" s="190"/>
      <c r="E14" s="7"/>
      <c r="G14" s="36">
        <f t="shared" si="0"/>
        <v>0</v>
      </c>
      <c r="H14" s="37"/>
      <c r="I14" s="38"/>
      <c r="J14" s="39"/>
      <c r="K14" s="48"/>
      <c r="M14" s="36">
        <f t="shared" si="1"/>
        <v>0</v>
      </c>
      <c r="N14" s="37"/>
      <c r="O14" s="38"/>
      <c r="P14" s="39"/>
      <c r="Q14" s="48"/>
      <c r="S14" s="36">
        <f t="shared" si="2"/>
        <v>0</v>
      </c>
      <c r="T14" s="37"/>
      <c r="U14" s="38"/>
      <c r="V14" s="39"/>
      <c r="W14" s="48"/>
    </row>
    <row r="15" spans="2:23" ht="15" thickBot="1" x14ac:dyDescent="0.4">
      <c r="B15" s="17">
        <f t="shared" si="3"/>
        <v>9</v>
      </c>
      <c r="C15" s="191" t="s">
        <v>13</v>
      </c>
      <c r="D15" s="192"/>
      <c r="E15" s="13"/>
      <c r="G15" s="40">
        <f t="shared" si="0"/>
        <v>0</v>
      </c>
      <c r="H15" s="41"/>
      <c r="I15" s="42"/>
      <c r="J15" s="43"/>
      <c r="K15" s="49"/>
      <c r="M15" s="40">
        <f t="shared" si="1"/>
        <v>0</v>
      </c>
      <c r="N15" s="41"/>
      <c r="O15" s="42"/>
      <c r="P15" s="43"/>
      <c r="Q15" s="49"/>
      <c r="S15" s="40">
        <f t="shared" si="2"/>
        <v>0</v>
      </c>
      <c r="T15" s="41"/>
      <c r="U15" s="42"/>
      <c r="V15" s="43"/>
      <c r="W15" s="49"/>
    </row>
    <row r="16" spans="2:23" ht="15" thickBot="1" x14ac:dyDescent="0.4">
      <c r="B16" s="35">
        <f t="shared" si="3"/>
        <v>10</v>
      </c>
      <c r="C16" s="189" t="s">
        <v>14</v>
      </c>
      <c r="D16" s="190"/>
      <c r="E16" s="8"/>
      <c r="G16" s="36">
        <f t="shared" si="0"/>
        <v>0</v>
      </c>
      <c r="H16" s="37"/>
      <c r="I16" s="38"/>
      <c r="J16" s="39"/>
      <c r="K16" s="48"/>
      <c r="M16" s="36">
        <f t="shared" si="1"/>
        <v>0</v>
      </c>
      <c r="N16" s="37"/>
      <c r="O16" s="38"/>
      <c r="P16" s="39"/>
      <c r="Q16" s="48"/>
      <c r="S16" s="36">
        <f t="shared" si="2"/>
        <v>0</v>
      </c>
      <c r="T16" s="37"/>
      <c r="U16" s="38"/>
      <c r="V16" s="39"/>
      <c r="W16" s="48"/>
    </row>
    <row r="17" spans="2:23" ht="15" thickBot="1" x14ac:dyDescent="0.4">
      <c r="B17" s="17">
        <f t="shared" si="3"/>
        <v>11</v>
      </c>
      <c r="C17" s="191" t="s">
        <v>15</v>
      </c>
      <c r="D17" s="192"/>
      <c r="E17" s="8"/>
      <c r="G17" s="40">
        <f t="shared" si="0"/>
        <v>0</v>
      </c>
      <c r="H17" s="41"/>
      <c r="I17" s="42"/>
      <c r="J17" s="43"/>
      <c r="K17" s="49"/>
      <c r="M17" s="40">
        <f t="shared" si="1"/>
        <v>0</v>
      </c>
      <c r="N17" s="41"/>
      <c r="O17" s="42"/>
      <c r="P17" s="43"/>
      <c r="Q17" s="49"/>
      <c r="S17" s="40">
        <f t="shared" si="2"/>
        <v>0</v>
      </c>
      <c r="T17" s="41"/>
      <c r="U17" s="42"/>
      <c r="V17" s="43"/>
      <c r="W17" s="49"/>
    </row>
    <row r="18" spans="2:23" ht="15" thickBot="1" x14ac:dyDescent="0.4">
      <c r="B18" s="35">
        <f t="shared" si="3"/>
        <v>12</v>
      </c>
      <c r="C18" s="189" t="s">
        <v>16</v>
      </c>
      <c r="D18" s="190"/>
      <c r="E18" s="8"/>
      <c r="G18" s="36">
        <f t="shared" si="0"/>
        <v>0</v>
      </c>
      <c r="H18" s="37"/>
      <c r="I18" s="38"/>
      <c r="J18" s="39"/>
      <c r="K18" s="48"/>
      <c r="M18" s="36">
        <f t="shared" si="1"/>
        <v>0</v>
      </c>
      <c r="N18" s="37"/>
      <c r="O18" s="38"/>
      <c r="P18" s="39"/>
      <c r="Q18" s="48"/>
      <c r="S18" s="36">
        <f t="shared" si="2"/>
        <v>0</v>
      </c>
      <c r="T18" s="37"/>
      <c r="U18" s="38"/>
      <c r="V18" s="39"/>
      <c r="W18" s="48"/>
    </row>
    <row r="19" spans="2:23" ht="15" thickBot="1" x14ac:dyDescent="0.4">
      <c r="B19" s="17">
        <f t="shared" si="3"/>
        <v>13</v>
      </c>
      <c r="C19" s="191" t="s">
        <v>17</v>
      </c>
      <c r="D19" s="192"/>
      <c r="E19" s="8"/>
      <c r="G19" s="40">
        <f t="shared" si="0"/>
        <v>0</v>
      </c>
      <c r="H19" s="41"/>
      <c r="I19" s="42"/>
      <c r="J19" s="43"/>
      <c r="K19" s="49"/>
      <c r="M19" s="40">
        <f t="shared" si="1"/>
        <v>0</v>
      </c>
      <c r="N19" s="41"/>
      <c r="O19" s="42"/>
      <c r="P19" s="43"/>
      <c r="Q19" s="49"/>
      <c r="S19" s="40">
        <f t="shared" si="2"/>
        <v>0</v>
      </c>
      <c r="T19" s="41"/>
      <c r="U19" s="42"/>
      <c r="V19" s="43"/>
      <c r="W19" s="49"/>
    </row>
    <row r="20" spans="2:23" ht="15" thickBot="1" x14ac:dyDescent="0.4">
      <c r="B20" s="35">
        <f t="shared" si="3"/>
        <v>14</v>
      </c>
      <c r="C20" s="189" t="s">
        <v>18</v>
      </c>
      <c r="D20" s="190"/>
      <c r="E20" s="8"/>
      <c r="G20" s="36">
        <f t="shared" si="0"/>
        <v>0</v>
      </c>
      <c r="H20" s="37"/>
      <c r="I20" s="38"/>
      <c r="J20" s="39"/>
      <c r="K20" s="48"/>
      <c r="M20" s="36">
        <f t="shared" si="1"/>
        <v>0</v>
      </c>
      <c r="N20" s="37"/>
      <c r="O20" s="38"/>
      <c r="P20" s="39"/>
      <c r="Q20" s="48"/>
      <c r="S20" s="36">
        <f t="shared" si="2"/>
        <v>0</v>
      </c>
      <c r="T20" s="37"/>
      <c r="U20" s="38"/>
      <c r="V20" s="39"/>
      <c r="W20" s="48"/>
    </row>
    <row r="21" spans="2:23" ht="15" thickBot="1" x14ac:dyDescent="0.4">
      <c r="B21" s="17">
        <f t="shared" si="3"/>
        <v>15</v>
      </c>
      <c r="C21" s="191" t="s">
        <v>19</v>
      </c>
      <c r="D21" s="192"/>
      <c r="E21" s="8"/>
      <c r="G21" s="40">
        <f t="shared" si="0"/>
        <v>0</v>
      </c>
      <c r="H21" s="41"/>
      <c r="I21" s="42"/>
      <c r="J21" s="43"/>
      <c r="K21" s="49"/>
      <c r="M21" s="40">
        <f t="shared" si="1"/>
        <v>0</v>
      </c>
      <c r="N21" s="41"/>
      <c r="O21" s="42"/>
      <c r="P21" s="43"/>
      <c r="Q21" s="49"/>
      <c r="S21" s="40">
        <f t="shared" si="2"/>
        <v>0</v>
      </c>
      <c r="T21" s="41"/>
      <c r="U21" s="42"/>
      <c r="V21" s="43"/>
      <c r="W21" s="49"/>
    </row>
    <row r="22" spans="2:23" ht="15" thickBot="1" x14ac:dyDescent="0.4">
      <c r="B22" s="44">
        <f t="shared" si="3"/>
        <v>16</v>
      </c>
      <c r="C22" s="203" t="s">
        <v>20</v>
      </c>
      <c r="D22" s="204"/>
      <c r="E22" s="8"/>
      <c r="G22" s="36">
        <f t="shared" si="0"/>
        <v>0</v>
      </c>
      <c r="H22" s="37"/>
      <c r="I22" s="38"/>
      <c r="J22" s="39"/>
      <c r="K22" s="48"/>
      <c r="M22" s="36">
        <f t="shared" si="1"/>
        <v>0</v>
      </c>
      <c r="N22" s="37"/>
      <c r="O22" s="38"/>
      <c r="P22" s="39"/>
      <c r="Q22" s="48"/>
      <c r="S22" s="36">
        <f t="shared" si="2"/>
        <v>0</v>
      </c>
      <c r="T22" s="37"/>
      <c r="U22" s="38"/>
      <c r="V22" s="39"/>
      <c r="W22" s="48"/>
    </row>
    <row r="24" spans="2:23" x14ac:dyDescent="0.35">
      <c r="B24" s="4" t="s">
        <v>22</v>
      </c>
    </row>
    <row r="25" spans="2:23" x14ac:dyDescent="0.35">
      <c r="B25" s="9" t="s">
        <v>25</v>
      </c>
      <c r="C25" s="1" t="s">
        <v>23</v>
      </c>
    </row>
    <row r="26" spans="2:23" x14ac:dyDescent="0.35">
      <c r="B26" s="9" t="s">
        <v>27</v>
      </c>
      <c r="C26" s="1" t="s">
        <v>28</v>
      </c>
    </row>
    <row r="28" spans="2:23" x14ac:dyDescent="0.35">
      <c r="G28" s="51" t="s">
        <v>41</v>
      </c>
      <c r="H28" s="1"/>
      <c r="I28" s="1"/>
      <c r="J28" s="1"/>
      <c r="K28" s="1"/>
      <c r="M28" s="51" t="s">
        <v>42</v>
      </c>
      <c r="S28" s="51" t="s">
        <v>43</v>
      </c>
    </row>
    <row r="29" spans="2:23" x14ac:dyDescent="0.35">
      <c r="G29" s="51"/>
      <c r="H29" s="1"/>
      <c r="I29" s="1"/>
      <c r="J29" s="1"/>
      <c r="K29" s="1"/>
      <c r="M29" s="51"/>
      <c r="S29" s="51"/>
    </row>
    <row r="30" spans="2:23" x14ac:dyDescent="0.35">
      <c r="G30" s="51"/>
      <c r="H30" s="1"/>
      <c r="I30" s="1"/>
      <c r="J30" s="1"/>
      <c r="K30" s="1"/>
      <c r="M30" s="51"/>
      <c r="S30" s="51"/>
    </row>
    <row r="31" spans="2:23" ht="15" thickBot="1" x14ac:dyDescent="0.4">
      <c r="G31" s="51"/>
      <c r="H31" s="187" t="s">
        <v>37</v>
      </c>
      <c r="I31" s="187"/>
      <c r="J31" s="1"/>
      <c r="K31" s="1"/>
      <c r="M31" s="51"/>
      <c r="N31" s="188" t="s">
        <v>37</v>
      </c>
      <c r="O31" s="188"/>
      <c r="S31" s="51"/>
      <c r="T31" s="182" t="s">
        <v>37</v>
      </c>
      <c r="U31" s="182"/>
    </row>
    <row r="32" spans="2:23" x14ac:dyDescent="0.35">
      <c r="G32" s="51"/>
      <c r="H32" s="183" t="s">
        <v>40</v>
      </c>
      <c r="I32" s="183"/>
      <c r="J32" s="1"/>
      <c r="K32" s="1"/>
      <c r="M32" s="51"/>
      <c r="N32" s="183" t="s">
        <v>40</v>
      </c>
      <c r="O32" s="183"/>
      <c r="S32" s="51"/>
      <c r="T32" s="183" t="s">
        <v>40</v>
      </c>
      <c r="U32" s="183"/>
    </row>
    <row r="33" spans="8:21" ht="15" thickBot="1" x14ac:dyDescent="0.4">
      <c r="N33" s="6"/>
      <c r="O33" s="6"/>
      <c r="P33" s="6"/>
      <c r="Q33" s="6"/>
      <c r="T33" s="6"/>
      <c r="U33" s="6"/>
    </row>
    <row r="34" spans="8:21" ht="15" thickBot="1" x14ac:dyDescent="0.4">
      <c r="H34" s="9" t="s">
        <v>38</v>
      </c>
      <c r="I34" s="54"/>
      <c r="N34" s="9" t="s">
        <v>38</v>
      </c>
      <c r="O34" s="53"/>
      <c r="T34" s="9" t="s">
        <v>38</v>
      </c>
      <c r="U34" s="52"/>
    </row>
  </sheetData>
  <mergeCells count="39">
    <mergeCell ref="S2:W2"/>
    <mergeCell ref="S3:S4"/>
    <mergeCell ref="T3:V3"/>
    <mergeCell ref="W3:W4"/>
    <mergeCell ref="S5:S7"/>
    <mergeCell ref="M2:Q2"/>
    <mergeCell ref="M3:M4"/>
    <mergeCell ref="N3:P3"/>
    <mergeCell ref="Q3:Q4"/>
    <mergeCell ref="M5:M7"/>
    <mergeCell ref="C16:D16"/>
    <mergeCell ref="C17:D17"/>
    <mergeCell ref="C18:D18"/>
    <mergeCell ref="C19:D19"/>
    <mergeCell ref="C8:D8"/>
    <mergeCell ref="C9:D9"/>
    <mergeCell ref="C10:D10"/>
    <mergeCell ref="C11:D11"/>
    <mergeCell ref="G5:G7"/>
    <mergeCell ref="E2:E4"/>
    <mergeCell ref="C2:D4"/>
    <mergeCell ref="C14:D14"/>
    <mergeCell ref="C15:D15"/>
    <mergeCell ref="T31:U31"/>
    <mergeCell ref="T32:U32"/>
    <mergeCell ref="B2:B4"/>
    <mergeCell ref="H31:I31"/>
    <mergeCell ref="H32:I32"/>
    <mergeCell ref="N31:O31"/>
    <mergeCell ref="N32:O32"/>
    <mergeCell ref="C12:D12"/>
    <mergeCell ref="C13:D13"/>
    <mergeCell ref="H3:J3"/>
    <mergeCell ref="K3:K4"/>
    <mergeCell ref="G2:K2"/>
    <mergeCell ref="G3:G4"/>
    <mergeCell ref="C20:D20"/>
    <mergeCell ref="C21:D21"/>
    <mergeCell ref="C22:D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3E2F-40E2-4B3B-9E55-1D6D81145FCA}">
  <dimension ref="B2:Z85"/>
  <sheetViews>
    <sheetView tabSelected="1" zoomScale="55" zoomScaleNormal="55" workbookViewId="0">
      <selection activeCell="L26" sqref="L26"/>
    </sheetView>
  </sheetViews>
  <sheetFormatPr defaultColWidth="8.81640625" defaultRowHeight="14.5" x14ac:dyDescent="0.35"/>
  <cols>
    <col min="1" max="1" width="2.81640625" style="57" customWidth="1"/>
    <col min="2" max="2" width="4.453125" style="58" customWidth="1"/>
    <col min="3" max="3" width="12.08984375" style="58" customWidth="1"/>
    <col min="4" max="6" width="24.81640625" style="57" customWidth="1"/>
    <col min="7" max="7" width="14" style="57" customWidth="1"/>
    <col min="8" max="8" width="16.6328125" style="57" customWidth="1"/>
    <col min="9" max="9" width="20.90625" style="57" customWidth="1"/>
    <col min="10" max="11" width="15.81640625" style="57" customWidth="1"/>
    <col min="12" max="12" width="29.90625" style="57" customWidth="1"/>
    <col min="13" max="13" width="26" style="57" customWidth="1"/>
    <col min="14" max="14" width="5.6328125" style="57" customWidth="1"/>
    <col min="15" max="15" width="6.08984375" style="57" customWidth="1"/>
    <col min="16" max="16" width="6.453125" style="57" customWidth="1"/>
    <col min="17" max="17" width="6" style="57" customWidth="1"/>
    <col min="18" max="18" width="6.6328125" style="57" customWidth="1"/>
    <col min="19" max="19" width="5.90625" style="57" customWidth="1"/>
    <col min="20" max="20" width="5.36328125" style="57" customWidth="1"/>
    <col min="21" max="21" width="6.1796875" style="57" customWidth="1"/>
    <col min="22" max="22" width="6.08984375" style="57" customWidth="1"/>
    <col min="23" max="23" width="5.90625" style="57" customWidth="1"/>
    <col min="24" max="24" width="6.453125" style="57" customWidth="1"/>
    <col min="25" max="25" width="6.08984375" style="57" customWidth="1"/>
    <col min="26" max="26" width="7.1796875" style="57" customWidth="1"/>
    <col min="27" max="27" width="12.1796875" style="57" customWidth="1"/>
    <col min="28" max="16384" width="8.81640625" style="57"/>
  </cols>
  <sheetData>
    <row r="2" spans="2:12" ht="23.5" x14ac:dyDescent="0.55000000000000004">
      <c r="B2" s="55" t="s">
        <v>105</v>
      </c>
      <c r="C2" s="56"/>
    </row>
    <row r="3" spans="2:12" x14ac:dyDescent="0.35">
      <c r="B3" s="58" t="s">
        <v>69</v>
      </c>
      <c r="G3" s="225" t="s">
        <v>6</v>
      </c>
      <c r="H3" s="225"/>
      <c r="I3" s="225"/>
      <c r="J3" s="225"/>
      <c r="K3" s="225"/>
      <c r="L3" s="163"/>
    </row>
    <row r="4" spans="2:12" x14ac:dyDescent="0.35">
      <c r="G4" s="90" t="s">
        <v>70</v>
      </c>
      <c r="H4" s="90"/>
      <c r="I4" s="90"/>
    </row>
    <row r="5" spans="2:12" ht="15.5" x14ac:dyDescent="0.35">
      <c r="B5" s="59" t="s">
        <v>44</v>
      </c>
    </row>
    <row r="6" spans="2:12" ht="16.5" x14ac:dyDescent="0.35">
      <c r="B6" s="60" t="s">
        <v>45</v>
      </c>
    </row>
    <row r="7" spans="2:12" x14ac:dyDescent="0.35">
      <c r="B7" s="60"/>
    </row>
    <row r="8" spans="2:12" x14ac:dyDescent="0.35">
      <c r="B8" s="111" t="s">
        <v>115</v>
      </c>
      <c r="C8" s="103"/>
    </row>
    <row r="9" spans="2:12" x14ac:dyDescent="0.35">
      <c r="B9" s="130" t="s">
        <v>116</v>
      </c>
      <c r="C9" s="57"/>
    </row>
    <row r="10" spans="2:12" x14ac:dyDescent="0.35">
      <c r="B10" s="130" t="s">
        <v>123</v>
      </c>
      <c r="C10" s="130"/>
      <c r="D10" s="130"/>
      <c r="E10" s="130"/>
    </row>
    <row r="11" spans="2:12" x14ac:dyDescent="0.35">
      <c r="B11" s="130"/>
      <c r="C11" s="130" t="s">
        <v>117</v>
      </c>
      <c r="D11" s="130"/>
      <c r="E11" s="130"/>
    </row>
    <row r="12" spans="2:12" x14ac:dyDescent="0.35">
      <c r="B12" s="130"/>
      <c r="C12" s="130" t="s">
        <v>118</v>
      </c>
      <c r="D12" s="130"/>
      <c r="E12" s="130"/>
    </row>
    <row r="13" spans="2:12" x14ac:dyDescent="0.35">
      <c r="B13" s="130"/>
      <c r="C13" s="130" t="s">
        <v>119</v>
      </c>
      <c r="D13" s="130"/>
      <c r="E13" s="130"/>
    </row>
    <row r="14" spans="2:12" x14ac:dyDescent="0.35">
      <c r="B14" s="130" t="s">
        <v>122</v>
      </c>
      <c r="C14" s="130"/>
      <c r="D14" s="130"/>
      <c r="E14" s="130"/>
    </row>
    <row r="15" spans="2:12" x14ac:dyDescent="0.35">
      <c r="B15" s="130" t="s">
        <v>120</v>
      </c>
      <c r="C15" s="130"/>
    </row>
    <row r="16" spans="2:12" ht="15" thickBot="1" x14ac:dyDescent="0.4">
      <c r="B16" s="61"/>
    </row>
    <row r="17" spans="2:26" ht="17" thickBot="1" x14ac:dyDescent="0.4">
      <c r="B17" s="62" t="s">
        <v>46</v>
      </c>
      <c r="C17" s="63"/>
      <c r="D17" s="64"/>
      <c r="E17" s="64"/>
      <c r="F17" s="64"/>
      <c r="G17" s="64"/>
      <c r="H17" s="64"/>
      <c r="I17" s="64"/>
      <c r="J17" s="64"/>
      <c r="K17" s="64"/>
      <c r="L17" s="64"/>
      <c r="M17" s="65"/>
      <c r="N17" s="223" t="s">
        <v>47</v>
      </c>
      <c r="O17" s="223"/>
      <c r="P17" s="223"/>
      <c r="Q17" s="223"/>
      <c r="R17" s="223"/>
      <c r="S17" s="223"/>
      <c r="T17" s="223"/>
      <c r="U17" s="223"/>
      <c r="V17" s="223"/>
      <c r="W17" s="223"/>
      <c r="X17" s="223"/>
      <c r="Y17" s="223"/>
      <c r="Z17" s="224"/>
    </row>
    <row r="18" spans="2:26" s="86" customFormat="1" ht="58.5" thickBot="1" x14ac:dyDescent="0.4">
      <c r="B18" s="136" t="s">
        <v>48</v>
      </c>
      <c r="C18" s="137" t="s">
        <v>49</v>
      </c>
      <c r="D18" s="138" t="s">
        <v>50</v>
      </c>
      <c r="E18" s="144" t="s">
        <v>126</v>
      </c>
      <c r="F18" s="139" t="s">
        <v>84</v>
      </c>
      <c r="G18" s="140" t="s">
        <v>51</v>
      </c>
      <c r="H18" s="140" t="s">
        <v>72</v>
      </c>
      <c r="I18" s="141" t="s">
        <v>125</v>
      </c>
      <c r="J18" s="141" t="s">
        <v>73</v>
      </c>
      <c r="K18" s="141" t="s">
        <v>75</v>
      </c>
      <c r="L18" s="165" t="s">
        <v>131</v>
      </c>
      <c r="M18" s="142" t="s">
        <v>124</v>
      </c>
      <c r="N18" s="94" t="s">
        <v>52</v>
      </c>
      <c r="O18" s="84" t="s">
        <v>53</v>
      </c>
      <c r="P18" s="84" t="s">
        <v>54</v>
      </c>
      <c r="Q18" s="84" t="s">
        <v>55</v>
      </c>
      <c r="R18" s="84" t="s">
        <v>56</v>
      </c>
      <c r="S18" s="84" t="s">
        <v>57</v>
      </c>
      <c r="T18" s="84" t="s">
        <v>58</v>
      </c>
      <c r="U18" s="84" t="s">
        <v>59</v>
      </c>
      <c r="V18" s="84" t="s">
        <v>60</v>
      </c>
      <c r="W18" s="84" t="s">
        <v>61</v>
      </c>
      <c r="X18" s="84" t="s">
        <v>62</v>
      </c>
      <c r="Y18" s="85" t="s">
        <v>63</v>
      </c>
      <c r="Z18" s="164" t="s">
        <v>64</v>
      </c>
    </row>
    <row r="19" spans="2:26" x14ac:dyDescent="0.35">
      <c r="B19" s="132">
        <v>1</v>
      </c>
      <c r="C19" s="133"/>
      <c r="D19" s="134"/>
      <c r="E19" s="134"/>
      <c r="F19" s="134"/>
      <c r="G19" s="134"/>
      <c r="H19" s="131" t="b">
        <v>0</v>
      </c>
      <c r="I19" s="131" t="b">
        <v>0</v>
      </c>
      <c r="J19" s="134"/>
      <c r="K19" s="134"/>
      <c r="L19" s="166" t="s">
        <v>32</v>
      </c>
      <c r="M19" s="135">
        <v>46053</v>
      </c>
      <c r="N19" s="92"/>
      <c r="O19" s="66"/>
      <c r="P19" s="66"/>
      <c r="Q19" s="66"/>
      <c r="R19" s="66"/>
      <c r="S19" s="66"/>
      <c r="T19" s="66"/>
      <c r="U19" s="66"/>
      <c r="V19" s="66"/>
      <c r="W19" s="66">
        <v>40</v>
      </c>
      <c r="X19" s="66"/>
      <c r="Y19" s="67"/>
      <c r="Z19" s="67">
        <f>SUM(N19:Y19)</f>
        <v>40</v>
      </c>
    </row>
    <row r="20" spans="2:26" ht="15.5" x14ac:dyDescent="0.35">
      <c r="B20" s="68">
        <f>B19+1</f>
        <v>2</v>
      </c>
      <c r="C20" s="69"/>
      <c r="D20" s="70"/>
      <c r="E20" s="70"/>
      <c r="F20" s="70"/>
      <c r="G20" s="70"/>
      <c r="H20" s="87" t="b">
        <v>0</v>
      </c>
      <c r="I20" s="87" t="b">
        <v>0</v>
      </c>
      <c r="J20" s="70"/>
      <c r="K20" s="70"/>
      <c r="L20" s="167" t="s">
        <v>103</v>
      </c>
      <c r="M20" s="135">
        <v>46053</v>
      </c>
      <c r="N20" s="92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7"/>
      <c r="Z20" s="67">
        <f t="shared" ref="Z20:Z68" si="0">SUM(N20:Y20)</f>
        <v>0</v>
      </c>
    </row>
    <row r="21" spans="2:26" ht="15.5" x14ac:dyDescent="0.35">
      <c r="B21" s="68">
        <f t="shared" ref="B21:B68" si="1">B20+1</f>
        <v>3</v>
      </c>
      <c r="C21" s="69"/>
      <c r="D21" s="70"/>
      <c r="E21" s="70"/>
      <c r="F21" s="70"/>
      <c r="G21" s="70"/>
      <c r="H21" s="87" t="b">
        <v>0</v>
      </c>
      <c r="I21" s="87" t="b">
        <v>0</v>
      </c>
      <c r="J21" s="70"/>
      <c r="K21" s="70"/>
      <c r="L21" s="167" t="s">
        <v>32</v>
      </c>
      <c r="M21" s="135"/>
      <c r="N21" s="92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7"/>
      <c r="Z21" s="67">
        <f t="shared" si="0"/>
        <v>0</v>
      </c>
    </row>
    <row r="22" spans="2:26" ht="15.5" x14ac:dyDescent="0.35">
      <c r="B22" s="68">
        <f t="shared" si="1"/>
        <v>4</v>
      </c>
      <c r="C22" s="69"/>
      <c r="D22" s="70"/>
      <c r="E22" s="70"/>
      <c r="F22" s="70"/>
      <c r="G22" s="70"/>
      <c r="H22" s="87" t="b">
        <v>0</v>
      </c>
      <c r="I22" s="87" t="b">
        <v>0</v>
      </c>
      <c r="J22" s="70"/>
      <c r="K22" s="70"/>
      <c r="L22" s="167" t="s">
        <v>103</v>
      </c>
      <c r="M22" s="135"/>
      <c r="N22" s="92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7"/>
      <c r="Z22" s="67">
        <f t="shared" si="0"/>
        <v>0</v>
      </c>
    </row>
    <row r="23" spans="2:26" ht="15.5" x14ac:dyDescent="0.35">
      <c r="B23" s="68">
        <f t="shared" si="1"/>
        <v>5</v>
      </c>
      <c r="C23" s="69"/>
      <c r="D23" s="70"/>
      <c r="E23" s="70"/>
      <c r="F23" s="70"/>
      <c r="G23" s="70"/>
      <c r="H23" s="87" t="b">
        <v>0</v>
      </c>
      <c r="I23" s="87" t="b">
        <v>0</v>
      </c>
      <c r="J23" s="70"/>
      <c r="K23" s="70"/>
      <c r="L23" s="167" t="s">
        <v>103</v>
      </c>
      <c r="M23" s="135"/>
      <c r="N23" s="92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7"/>
      <c r="Z23" s="67">
        <f t="shared" si="0"/>
        <v>0</v>
      </c>
    </row>
    <row r="24" spans="2:26" ht="15.5" x14ac:dyDescent="0.35">
      <c r="B24" s="68">
        <f t="shared" si="1"/>
        <v>6</v>
      </c>
      <c r="C24" s="69"/>
      <c r="D24" s="70"/>
      <c r="E24" s="70"/>
      <c r="F24" s="70"/>
      <c r="G24" s="70"/>
      <c r="H24" s="87" t="b">
        <v>0</v>
      </c>
      <c r="I24" s="87" t="b">
        <v>0</v>
      </c>
      <c r="J24" s="70"/>
      <c r="K24" s="70"/>
      <c r="L24" s="167" t="s">
        <v>103</v>
      </c>
      <c r="M24" s="135"/>
      <c r="N24" s="92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7"/>
      <c r="Z24" s="67">
        <f t="shared" si="0"/>
        <v>0</v>
      </c>
    </row>
    <row r="25" spans="2:26" ht="15.5" x14ac:dyDescent="0.35">
      <c r="B25" s="68">
        <f t="shared" si="1"/>
        <v>7</v>
      </c>
      <c r="C25" s="69"/>
      <c r="D25" s="70"/>
      <c r="E25" s="70"/>
      <c r="F25" s="70"/>
      <c r="G25" s="70"/>
      <c r="H25" s="88" t="b">
        <v>0</v>
      </c>
      <c r="I25" s="88" t="b">
        <v>0</v>
      </c>
      <c r="J25" s="70"/>
      <c r="K25" s="70"/>
      <c r="L25" s="167" t="s">
        <v>103</v>
      </c>
      <c r="M25" s="135"/>
      <c r="N25" s="92"/>
      <c r="O25" s="66"/>
      <c r="P25" s="66"/>
      <c r="Q25" s="66"/>
      <c r="R25" s="66"/>
      <c r="S25" s="66"/>
      <c r="T25" s="71"/>
      <c r="U25" s="72"/>
      <c r="V25" s="66"/>
      <c r="W25" s="72"/>
      <c r="X25" s="66"/>
      <c r="Y25" s="67"/>
      <c r="Z25" s="67">
        <f t="shared" si="0"/>
        <v>0</v>
      </c>
    </row>
    <row r="26" spans="2:26" ht="15.5" x14ac:dyDescent="0.35">
      <c r="B26" s="68">
        <f t="shared" si="1"/>
        <v>8</v>
      </c>
      <c r="C26" s="69"/>
      <c r="D26" s="70"/>
      <c r="E26" s="70"/>
      <c r="F26" s="70"/>
      <c r="G26" s="70"/>
      <c r="H26" s="87" t="b">
        <v>0</v>
      </c>
      <c r="I26" s="87" t="b">
        <v>0</v>
      </c>
      <c r="J26" s="70"/>
      <c r="K26" s="70"/>
      <c r="L26" s="167" t="s">
        <v>103</v>
      </c>
      <c r="M26" s="135"/>
      <c r="N26" s="92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  <c r="Z26" s="67">
        <f t="shared" si="0"/>
        <v>0</v>
      </c>
    </row>
    <row r="27" spans="2:26" ht="15.5" x14ac:dyDescent="0.35">
      <c r="B27" s="68">
        <f t="shared" si="1"/>
        <v>9</v>
      </c>
      <c r="C27" s="69"/>
      <c r="D27" s="70"/>
      <c r="E27" s="70"/>
      <c r="F27" s="70"/>
      <c r="G27" s="70"/>
      <c r="H27" s="87" t="b">
        <v>0</v>
      </c>
      <c r="I27" s="87" t="b">
        <v>0</v>
      </c>
      <c r="J27" s="70"/>
      <c r="K27" s="70"/>
      <c r="L27" s="167" t="s">
        <v>103</v>
      </c>
      <c r="M27" s="135"/>
      <c r="N27" s="92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7"/>
      <c r="Z27" s="67">
        <f t="shared" si="0"/>
        <v>0</v>
      </c>
    </row>
    <row r="28" spans="2:26" ht="15.5" x14ac:dyDescent="0.35">
      <c r="B28" s="68">
        <f t="shared" si="1"/>
        <v>10</v>
      </c>
      <c r="C28" s="69"/>
      <c r="D28" s="70"/>
      <c r="E28" s="70"/>
      <c r="F28" s="70"/>
      <c r="G28" s="70"/>
      <c r="H28" s="87" t="b">
        <v>0</v>
      </c>
      <c r="I28" s="87" t="b">
        <v>0</v>
      </c>
      <c r="J28" s="70"/>
      <c r="K28" s="70"/>
      <c r="L28" s="167" t="s">
        <v>103</v>
      </c>
      <c r="M28" s="135"/>
      <c r="N28" s="92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7"/>
      <c r="Z28" s="67">
        <f t="shared" si="0"/>
        <v>0</v>
      </c>
    </row>
    <row r="29" spans="2:26" ht="15.5" x14ac:dyDescent="0.35">
      <c r="B29" s="68">
        <f t="shared" si="1"/>
        <v>11</v>
      </c>
      <c r="C29" s="69"/>
      <c r="D29" s="70"/>
      <c r="E29" s="70"/>
      <c r="F29" s="70"/>
      <c r="G29" s="70"/>
      <c r="H29" s="87" t="b">
        <v>0</v>
      </c>
      <c r="I29" s="87" t="b">
        <v>0</v>
      </c>
      <c r="J29" s="70"/>
      <c r="K29" s="70"/>
      <c r="L29" s="167" t="s">
        <v>103</v>
      </c>
      <c r="M29" s="135"/>
      <c r="N29" s="92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7"/>
      <c r="Z29" s="67">
        <f t="shared" si="0"/>
        <v>0</v>
      </c>
    </row>
    <row r="30" spans="2:26" ht="15.5" x14ac:dyDescent="0.35">
      <c r="B30" s="68">
        <f t="shared" si="1"/>
        <v>12</v>
      </c>
      <c r="C30" s="69"/>
      <c r="D30" s="70"/>
      <c r="E30" s="70"/>
      <c r="F30" s="70"/>
      <c r="G30" s="70"/>
      <c r="H30" s="87" t="b">
        <v>0</v>
      </c>
      <c r="I30" s="87" t="b">
        <v>0</v>
      </c>
      <c r="J30" s="70"/>
      <c r="K30" s="70"/>
      <c r="L30" s="167" t="s">
        <v>103</v>
      </c>
      <c r="M30" s="135"/>
      <c r="N30" s="92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7"/>
      <c r="Z30" s="67">
        <f t="shared" si="0"/>
        <v>0</v>
      </c>
    </row>
    <row r="31" spans="2:26" ht="15.5" x14ac:dyDescent="0.35">
      <c r="B31" s="68">
        <f t="shared" si="1"/>
        <v>13</v>
      </c>
      <c r="C31" s="69"/>
      <c r="D31" s="70"/>
      <c r="E31" s="70"/>
      <c r="F31" s="70"/>
      <c r="G31" s="70"/>
      <c r="H31" s="87" t="b">
        <v>0</v>
      </c>
      <c r="I31" s="87" t="b">
        <v>0</v>
      </c>
      <c r="J31" s="70"/>
      <c r="K31" s="70"/>
      <c r="L31" s="167" t="s">
        <v>103</v>
      </c>
      <c r="M31" s="135"/>
      <c r="N31" s="92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7"/>
      <c r="Z31" s="67">
        <f t="shared" si="0"/>
        <v>0</v>
      </c>
    </row>
    <row r="32" spans="2:26" ht="15.5" x14ac:dyDescent="0.35">
      <c r="B32" s="68">
        <f t="shared" si="1"/>
        <v>14</v>
      </c>
      <c r="C32" s="69"/>
      <c r="D32" s="70"/>
      <c r="E32" s="70"/>
      <c r="F32" s="70"/>
      <c r="G32" s="70"/>
      <c r="H32" s="87" t="b">
        <v>0</v>
      </c>
      <c r="I32" s="87" t="b">
        <v>0</v>
      </c>
      <c r="J32" s="70"/>
      <c r="K32" s="70"/>
      <c r="L32" s="167" t="s">
        <v>103</v>
      </c>
      <c r="M32" s="135"/>
      <c r="N32" s="92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7"/>
      <c r="Z32" s="67">
        <f t="shared" si="0"/>
        <v>0</v>
      </c>
    </row>
    <row r="33" spans="2:26" ht="15.5" x14ac:dyDescent="0.35">
      <c r="B33" s="68">
        <f t="shared" si="1"/>
        <v>15</v>
      </c>
      <c r="C33" s="69"/>
      <c r="D33" s="70"/>
      <c r="E33" s="70"/>
      <c r="F33" s="70"/>
      <c r="G33" s="70"/>
      <c r="H33" s="87" t="b">
        <v>0</v>
      </c>
      <c r="I33" s="87" t="b">
        <v>0</v>
      </c>
      <c r="J33" s="70"/>
      <c r="K33" s="70"/>
      <c r="L33" s="167" t="s">
        <v>103</v>
      </c>
      <c r="M33" s="135"/>
      <c r="N33" s="92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7"/>
      <c r="Z33" s="67">
        <f t="shared" si="0"/>
        <v>0</v>
      </c>
    </row>
    <row r="34" spans="2:26" ht="15.5" x14ac:dyDescent="0.35">
      <c r="B34" s="68">
        <f t="shared" si="1"/>
        <v>16</v>
      </c>
      <c r="C34" s="69"/>
      <c r="D34" s="70"/>
      <c r="E34" s="70"/>
      <c r="F34" s="70"/>
      <c r="G34" s="70"/>
      <c r="H34" s="87" t="b">
        <v>0</v>
      </c>
      <c r="I34" s="87" t="b">
        <v>0</v>
      </c>
      <c r="J34" s="70"/>
      <c r="K34" s="70"/>
      <c r="L34" s="167" t="s">
        <v>103</v>
      </c>
      <c r="M34" s="135"/>
      <c r="N34" s="92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7"/>
      <c r="Z34" s="67">
        <f t="shared" si="0"/>
        <v>0</v>
      </c>
    </row>
    <row r="35" spans="2:26" ht="15.5" x14ac:dyDescent="0.35">
      <c r="B35" s="68">
        <f t="shared" si="1"/>
        <v>17</v>
      </c>
      <c r="C35" s="69"/>
      <c r="D35" s="70"/>
      <c r="E35" s="70"/>
      <c r="F35" s="70"/>
      <c r="G35" s="70"/>
      <c r="H35" s="87" t="b">
        <v>0</v>
      </c>
      <c r="I35" s="87" t="b">
        <v>0</v>
      </c>
      <c r="J35" s="70"/>
      <c r="K35" s="70"/>
      <c r="L35" s="167" t="s">
        <v>103</v>
      </c>
      <c r="M35" s="135"/>
      <c r="N35" s="92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7"/>
      <c r="Z35" s="67">
        <f t="shared" si="0"/>
        <v>0</v>
      </c>
    </row>
    <row r="36" spans="2:26" ht="15.5" x14ac:dyDescent="0.35">
      <c r="B36" s="68">
        <f t="shared" si="1"/>
        <v>18</v>
      </c>
      <c r="C36" s="69"/>
      <c r="D36" s="70"/>
      <c r="E36" s="70"/>
      <c r="F36" s="70"/>
      <c r="G36" s="70"/>
      <c r="H36" s="87" t="b">
        <v>0</v>
      </c>
      <c r="I36" s="87" t="b">
        <v>0</v>
      </c>
      <c r="J36" s="70"/>
      <c r="K36" s="70"/>
      <c r="L36" s="167"/>
      <c r="M36" s="135"/>
      <c r="N36" s="92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7"/>
      <c r="Z36" s="67">
        <f t="shared" si="0"/>
        <v>0</v>
      </c>
    </row>
    <row r="37" spans="2:26" ht="15.5" x14ac:dyDescent="0.35">
      <c r="B37" s="68">
        <f t="shared" si="1"/>
        <v>19</v>
      </c>
      <c r="C37" s="69"/>
      <c r="D37" s="70"/>
      <c r="E37" s="70"/>
      <c r="F37" s="70"/>
      <c r="G37" s="70"/>
      <c r="H37" s="87" t="b">
        <v>0</v>
      </c>
      <c r="I37" s="87" t="b">
        <v>0</v>
      </c>
      <c r="J37" s="70"/>
      <c r="K37" s="70"/>
      <c r="L37" s="167"/>
      <c r="M37" s="135"/>
      <c r="N37" s="92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7"/>
      <c r="Z37" s="67">
        <f t="shared" si="0"/>
        <v>0</v>
      </c>
    </row>
    <row r="38" spans="2:26" ht="15.5" x14ac:dyDescent="0.35">
      <c r="B38" s="68">
        <f t="shared" si="1"/>
        <v>20</v>
      </c>
      <c r="C38" s="69"/>
      <c r="D38" s="70"/>
      <c r="E38" s="70"/>
      <c r="F38" s="70"/>
      <c r="G38" s="70"/>
      <c r="H38" s="87" t="b">
        <v>0</v>
      </c>
      <c r="I38" s="87" t="b">
        <v>0</v>
      </c>
      <c r="J38" s="70"/>
      <c r="K38" s="70"/>
      <c r="L38" s="167"/>
      <c r="M38" s="135"/>
      <c r="N38" s="92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7"/>
      <c r="Z38" s="67">
        <f t="shared" si="0"/>
        <v>0</v>
      </c>
    </row>
    <row r="39" spans="2:26" ht="15.5" x14ac:dyDescent="0.35">
      <c r="B39" s="68">
        <f t="shared" si="1"/>
        <v>21</v>
      </c>
      <c r="C39" s="69"/>
      <c r="D39" s="70"/>
      <c r="E39" s="70"/>
      <c r="F39" s="70"/>
      <c r="G39" s="70"/>
      <c r="H39" s="87" t="b">
        <v>0</v>
      </c>
      <c r="I39" s="87" t="b">
        <v>0</v>
      </c>
      <c r="J39" s="70"/>
      <c r="K39" s="70"/>
      <c r="L39" s="167"/>
      <c r="M39" s="135"/>
      <c r="N39" s="92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7"/>
      <c r="Z39" s="67">
        <f t="shared" si="0"/>
        <v>0</v>
      </c>
    </row>
    <row r="40" spans="2:26" ht="15.5" x14ac:dyDescent="0.35">
      <c r="B40" s="68">
        <f t="shared" si="1"/>
        <v>22</v>
      </c>
      <c r="C40" s="69"/>
      <c r="D40" s="70"/>
      <c r="E40" s="70"/>
      <c r="F40" s="70"/>
      <c r="G40" s="70"/>
      <c r="H40" s="87" t="b">
        <v>0</v>
      </c>
      <c r="I40" s="87" t="b">
        <v>0</v>
      </c>
      <c r="J40" s="70"/>
      <c r="K40" s="70"/>
      <c r="L40" s="167"/>
      <c r="M40" s="135"/>
      <c r="N40" s="92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7"/>
      <c r="Z40" s="67">
        <f t="shared" si="0"/>
        <v>0</v>
      </c>
    </row>
    <row r="41" spans="2:26" ht="15.5" x14ac:dyDescent="0.35">
      <c r="B41" s="68">
        <f t="shared" si="1"/>
        <v>23</v>
      </c>
      <c r="C41" s="69"/>
      <c r="D41" s="70"/>
      <c r="E41" s="70"/>
      <c r="F41" s="70"/>
      <c r="G41" s="70"/>
      <c r="H41" s="87" t="b">
        <v>0</v>
      </c>
      <c r="I41" s="87" t="b">
        <v>0</v>
      </c>
      <c r="J41" s="70"/>
      <c r="K41" s="70"/>
      <c r="L41" s="167"/>
      <c r="M41" s="135"/>
      <c r="N41" s="92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7"/>
      <c r="Z41" s="67">
        <f t="shared" si="0"/>
        <v>0</v>
      </c>
    </row>
    <row r="42" spans="2:26" ht="15.5" x14ac:dyDescent="0.35">
      <c r="B42" s="68">
        <f t="shared" si="1"/>
        <v>24</v>
      </c>
      <c r="C42" s="69"/>
      <c r="D42" s="70"/>
      <c r="E42" s="70"/>
      <c r="F42" s="70"/>
      <c r="G42" s="70"/>
      <c r="H42" s="87" t="b">
        <v>0</v>
      </c>
      <c r="I42" s="87" t="b">
        <v>0</v>
      </c>
      <c r="J42" s="70"/>
      <c r="K42" s="70"/>
      <c r="L42" s="167"/>
      <c r="M42" s="135"/>
      <c r="N42" s="92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7"/>
      <c r="Z42" s="67">
        <f t="shared" si="0"/>
        <v>0</v>
      </c>
    </row>
    <row r="43" spans="2:26" ht="15.5" x14ac:dyDescent="0.35">
      <c r="B43" s="68">
        <f t="shared" si="1"/>
        <v>25</v>
      </c>
      <c r="C43" s="69"/>
      <c r="D43" s="70"/>
      <c r="E43" s="70"/>
      <c r="F43" s="70"/>
      <c r="G43" s="70"/>
      <c r="H43" s="87" t="b">
        <v>0</v>
      </c>
      <c r="I43" s="87" t="b">
        <v>0</v>
      </c>
      <c r="J43" s="70"/>
      <c r="K43" s="70"/>
      <c r="L43" s="167"/>
      <c r="M43" s="135"/>
      <c r="N43" s="92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7"/>
      <c r="Z43" s="67">
        <f t="shared" si="0"/>
        <v>0</v>
      </c>
    </row>
    <row r="44" spans="2:26" ht="15.5" x14ac:dyDescent="0.35">
      <c r="B44" s="68">
        <f t="shared" si="1"/>
        <v>26</v>
      </c>
      <c r="C44" s="69"/>
      <c r="D44" s="70"/>
      <c r="E44" s="70"/>
      <c r="F44" s="70"/>
      <c r="G44" s="70"/>
      <c r="H44" s="87" t="b">
        <v>0</v>
      </c>
      <c r="I44" s="87" t="b">
        <v>0</v>
      </c>
      <c r="J44" s="70"/>
      <c r="K44" s="70"/>
      <c r="L44" s="167"/>
      <c r="M44" s="135"/>
      <c r="N44" s="92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7"/>
      <c r="Z44" s="67">
        <f t="shared" si="0"/>
        <v>0</v>
      </c>
    </row>
    <row r="45" spans="2:26" ht="15.5" x14ac:dyDescent="0.35">
      <c r="B45" s="68">
        <f t="shared" si="1"/>
        <v>27</v>
      </c>
      <c r="C45" s="69"/>
      <c r="D45" s="70"/>
      <c r="E45" s="70"/>
      <c r="F45" s="70"/>
      <c r="G45" s="70"/>
      <c r="H45" s="87" t="b">
        <v>0</v>
      </c>
      <c r="I45" s="87" t="b">
        <v>0</v>
      </c>
      <c r="J45" s="70"/>
      <c r="K45" s="70"/>
      <c r="L45" s="167"/>
      <c r="M45" s="135"/>
      <c r="N45" s="92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7"/>
      <c r="Z45" s="67">
        <f t="shared" si="0"/>
        <v>0</v>
      </c>
    </row>
    <row r="46" spans="2:26" ht="15.5" x14ac:dyDescent="0.35">
      <c r="B46" s="68">
        <f t="shared" si="1"/>
        <v>28</v>
      </c>
      <c r="C46" s="69"/>
      <c r="D46" s="70"/>
      <c r="E46" s="70"/>
      <c r="F46" s="70"/>
      <c r="G46" s="70"/>
      <c r="H46" s="87" t="b">
        <v>0</v>
      </c>
      <c r="I46" s="87" t="b">
        <v>0</v>
      </c>
      <c r="J46" s="70"/>
      <c r="K46" s="70"/>
      <c r="L46" s="167"/>
      <c r="M46" s="135"/>
      <c r="N46" s="92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7"/>
      <c r="Z46" s="67">
        <f t="shared" si="0"/>
        <v>0</v>
      </c>
    </row>
    <row r="47" spans="2:26" ht="15.5" x14ac:dyDescent="0.35">
      <c r="B47" s="68">
        <f t="shared" si="1"/>
        <v>29</v>
      </c>
      <c r="C47" s="69"/>
      <c r="D47" s="70"/>
      <c r="E47" s="70"/>
      <c r="F47" s="70"/>
      <c r="G47" s="70"/>
      <c r="H47" s="87" t="b">
        <v>0</v>
      </c>
      <c r="I47" s="87" t="b">
        <v>0</v>
      </c>
      <c r="J47" s="70"/>
      <c r="K47" s="70"/>
      <c r="L47" s="167"/>
      <c r="M47" s="135"/>
      <c r="N47" s="92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7"/>
      <c r="Z47" s="67">
        <f t="shared" si="0"/>
        <v>0</v>
      </c>
    </row>
    <row r="48" spans="2:26" ht="15.5" x14ac:dyDescent="0.35">
      <c r="B48" s="68">
        <f t="shared" si="1"/>
        <v>30</v>
      </c>
      <c r="C48" s="69"/>
      <c r="D48" s="70"/>
      <c r="E48" s="70"/>
      <c r="F48" s="70"/>
      <c r="G48" s="70"/>
      <c r="H48" s="87" t="b">
        <v>0</v>
      </c>
      <c r="I48" s="87" t="b">
        <v>0</v>
      </c>
      <c r="J48" s="70"/>
      <c r="K48" s="70"/>
      <c r="L48" s="167"/>
      <c r="M48" s="135"/>
      <c r="N48" s="92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7"/>
      <c r="Z48" s="67">
        <f t="shared" si="0"/>
        <v>0</v>
      </c>
    </row>
    <row r="49" spans="2:26" ht="15.5" x14ac:dyDescent="0.35">
      <c r="B49" s="68">
        <f t="shared" si="1"/>
        <v>31</v>
      </c>
      <c r="C49" s="69"/>
      <c r="D49" s="70"/>
      <c r="E49" s="70"/>
      <c r="F49" s="70"/>
      <c r="G49" s="70"/>
      <c r="H49" s="87" t="b">
        <v>0</v>
      </c>
      <c r="I49" s="87" t="b">
        <v>0</v>
      </c>
      <c r="J49" s="70"/>
      <c r="K49" s="70"/>
      <c r="L49" s="167"/>
      <c r="M49" s="135"/>
      <c r="N49" s="92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7"/>
      <c r="Z49" s="67">
        <f t="shared" si="0"/>
        <v>0</v>
      </c>
    </row>
    <row r="50" spans="2:26" ht="15.5" x14ac:dyDescent="0.35">
      <c r="B50" s="68">
        <f t="shared" si="1"/>
        <v>32</v>
      </c>
      <c r="C50" s="69"/>
      <c r="D50" s="70"/>
      <c r="E50" s="70"/>
      <c r="F50" s="70"/>
      <c r="G50" s="70"/>
      <c r="H50" s="87" t="b">
        <v>0</v>
      </c>
      <c r="I50" s="87" t="b">
        <v>0</v>
      </c>
      <c r="J50" s="70"/>
      <c r="K50" s="70"/>
      <c r="L50" s="167"/>
      <c r="M50" s="135"/>
      <c r="N50" s="92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7"/>
      <c r="Z50" s="67">
        <f t="shared" si="0"/>
        <v>0</v>
      </c>
    </row>
    <row r="51" spans="2:26" ht="15.5" x14ac:dyDescent="0.35">
      <c r="B51" s="68">
        <f t="shared" si="1"/>
        <v>33</v>
      </c>
      <c r="C51" s="69"/>
      <c r="D51" s="70"/>
      <c r="E51" s="70"/>
      <c r="F51" s="70"/>
      <c r="G51" s="70"/>
      <c r="H51" s="87" t="b">
        <v>0</v>
      </c>
      <c r="I51" s="87" t="b">
        <v>0</v>
      </c>
      <c r="J51" s="70"/>
      <c r="K51" s="70"/>
      <c r="L51" s="167"/>
      <c r="M51" s="135"/>
      <c r="N51" s="92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7"/>
      <c r="Z51" s="67">
        <f t="shared" si="0"/>
        <v>0</v>
      </c>
    </row>
    <row r="52" spans="2:26" ht="15.5" x14ac:dyDescent="0.35">
      <c r="B52" s="68">
        <f t="shared" si="1"/>
        <v>34</v>
      </c>
      <c r="C52" s="69"/>
      <c r="D52" s="70"/>
      <c r="E52" s="70"/>
      <c r="F52" s="70"/>
      <c r="G52" s="70"/>
      <c r="H52" s="87" t="b">
        <v>0</v>
      </c>
      <c r="I52" s="87" t="b">
        <v>0</v>
      </c>
      <c r="J52" s="70"/>
      <c r="K52" s="70"/>
      <c r="L52" s="167"/>
      <c r="M52" s="135"/>
      <c r="N52" s="92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7"/>
      <c r="Z52" s="67">
        <f t="shared" si="0"/>
        <v>0</v>
      </c>
    </row>
    <row r="53" spans="2:26" ht="15.5" x14ac:dyDescent="0.35">
      <c r="B53" s="68">
        <f t="shared" si="1"/>
        <v>35</v>
      </c>
      <c r="C53" s="69"/>
      <c r="D53" s="70"/>
      <c r="E53" s="70"/>
      <c r="F53" s="70"/>
      <c r="G53" s="70"/>
      <c r="H53" s="87" t="b">
        <v>0</v>
      </c>
      <c r="I53" s="87" t="b">
        <v>0</v>
      </c>
      <c r="J53" s="70"/>
      <c r="K53" s="70"/>
      <c r="L53" s="167"/>
      <c r="M53" s="135"/>
      <c r="N53" s="92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7"/>
      <c r="Z53" s="67">
        <f t="shared" si="0"/>
        <v>0</v>
      </c>
    </row>
    <row r="54" spans="2:26" ht="15.5" x14ac:dyDescent="0.35">
      <c r="B54" s="68">
        <f t="shared" si="1"/>
        <v>36</v>
      </c>
      <c r="C54" s="69"/>
      <c r="D54" s="70"/>
      <c r="E54" s="70"/>
      <c r="F54" s="70"/>
      <c r="G54" s="70"/>
      <c r="H54" s="87" t="b">
        <v>0</v>
      </c>
      <c r="I54" s="87" t="b">
        <v>0</v>
      </c>
      <c r="J54" s="70"/>
      <c r="K54" s="70"/>
      <c r="L54" s="167"/>
      <c r="M54" s="135"/>
      <c r="N54" s="92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7"/>
      <c r="Z54" s="67">
        <f t="shared" si="0"/>
        <v>0</v>
      </c>
    </row>
    <row r="55" spans="2:26" ht="15.5" x14ac:dyDescent="0.35">
      <c r="B55" s="68">
        <f t="shared" si="1"/>
        <v>37</v>
      </c>
      <c r="C55" s="69"/>
      <c r="D55" s="70"/>
      <c r="E55" s="70"/>
      <c r="F55" s="70"/>
      <c r="G55" s="70"/>
      <c r="H55" s="87" t="b">
        <v>0</v>
      </c>
      <c r="I55" s="87" t="b">
        <v>0</v>
      </c>
      <c r="J55" s="70"/>
      <c r="K55" s="70"/>
      <c r="L55" s="167"/>
      <c r="M55" s="135"/>
      <c r="N55" s="92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7"/>
      <c r="Z55" s="67">
        <f t="shared" si="0"/>
        <v>0</v>
      </c>
    </row>
    <row r="56" spans="2:26" ht="15.5" x14ac:dyDescent="0.35">
      <c r="B56" s="68">
        <f t="shared" si="1"/>
        <v>38</v>
      </c>
      <c r="C56" s="69"/>
      <c r="D56" s="70"/>
      <c r="E56" s="70"/>
      <c r="F56" s="70"/>
      <c r="G56" s="70"/>
      <c r="H56" s="87" t="b">
        <v>0</v>
      </c>
      <c r="I56" s="87" t="b">
        <v>0</v>
      </c>
      <c r="J56" s="70"/>
      <c r="K56" s="70"/>
      <c r="L56" s="167"/>
      <c r="M56" s="135"/>
      <c r="N56" s="92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7"/>
      <c r="Z56" s="67">
        <f t="shared" si="0"/>
        <v>0</v>
      </c>
    </row>
    <row r="57" spans="2:26" ht="15.5" x14ac:dyDescent="0.35">
      <c r="B57" s="68">
        <f t="shared" si="1"/>
        <v>39</v>
      </c>
      <c r="C57" s="69"/>
      <c r="D57" s="70"/>
      <c r="E57" s="70"/>
      <c r="F57" s="70"/>
      <c r="G57" s="70"/>
      <c r="H57" s="87" t="b">
        <v>0</v>
      </c>
      <c r="I57" s="87" t="b">
        <v>0</v>
      </c>
      <c r="J57" s="70"/>
      <c r="K57" s="70"/>
      <c r="L57" s="167"/>
      <c r="M57" s="135"/>
      <c r="N57" s="92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7"/>
      <c r="Z57" s="67">
        <f t="shared" si="0"/>
        <v>0</v>
      </c>
    </row>
    <row r="58" spans="2:26" ht="15.5" x14ac:dyDescent="0.35">
      <c r="B58" s="68">
        <f t="shared" si="1"/>
        <v>40</v>
      </c>
      <c r="C58" s="69"/>
      <c r="D58" s="70"/>
      <c r="E58" s="70"/>
      <c r="F58" s="70"/>
      <c r="G58" s="70"/>
      <c r="H58" s="87" t="b">
        <v>0</v>
      </c>
      <c r="I58" s="87" t="b">
        <v>0</v>
      </c>
      <c r="J58" s="70"/>
      <c r="K58" s="70"/>
      <c r="L58" s="167"/>
      <c r="M58" s="135"/>
      <c r="N58" s="92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7"/>
      <c r="Z58" s="67">
        <f t="shared" si="0"/>
        <v>0</v>
      </c>
    </row>
    <row r="59" spans="2:26" ht="15.5" x14ac:dyDescent="0.35">
      <c r="B59" s="68">
        <f t="shared" si="1"/>
        <v>41</v>
      </c>
      <c r="C59" s="69"/>
      <c r="D59" s="70"/>
      <c r="E59" s="70"/>
      <c r="F59" s="70"/>
      <c r="G59" s="70"/>
      <c r="H59" s="87" t="b">
        <v>0</v>
      </c>
      <c r="I59" s="87" t="b">
        <v>0</v>
      </c>
      <c r="J59" s="70"/>
      <c r="K59" s="70"/>
      <c r="L59" s="167"/>
      <c r="M59" s="135"/>
      <c r="N59" s="92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7"/>
      <c r="Z59" s="67">
        <f t="shared" si="0"/>
        <v>0</v>
      </c>
    </row>
    <row r="60" spans="2:26" ht="15.5" x14ac:dyDescent="0.35">
      <c r="B60" s="68">
        <f t="shared" si="1"/>
        <v>42</v>
      </c>
      <c r="C60" s="69"/>
      <c r="D60" s="70"/>
      <c r="E60" s="70"/>
      <c r="F60" s="70"/>
      <c r="G60" s="70"/>
      <c r="H60" s="87" t="b">
        <v>0</v>
      </c>
      <c r="I60" s="87" t="b">
        <v>0</v>
      </c>
      <c r="J60" s="70"/>
      <c r="K60" s="70"/>
      <c r="L60" s="167"/>
      <c r="M60" s="135"/>
      <c r="N60" s="92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7"/>
      <c r="Z60" s="67">
        <f t="shared" si="0"/>
        <v>0</v>
      </c>
    </row>
    <row r="61" spans="2:26" ht="15.5" x14ac:dyDescent="0.35">
      <c r="B61" s="68">
        <f t="shared" si="1"/>
        <v>43</v>
      </c>
      <c r="C61" s="69"/>
      <c r="D61" s="70"/>
      <c r="E61" s="70"/>
      <c r="F61" s="70"/>
      <c r="G61" s="70"/>
      <c r="H61" s="87" t="b">
        <v>0</v>
      </c>
      <c r="I61" s="87" t="b">
        <v>0</v>
      </c>
      <c r="J61" s="70"/>
      <c r="K61" s="70"/>
      <c r="L61" s="167"/>
      <c r="M61" s="135"/>
      <c r="N61" s="92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7"/>
      <c r="Z61" s="67">
        <f t="shared" si="0"/>
        <v>0</v>
      </c>
    </row>
    <row r="62" spans="2:26" ht="15.5" x14ac:dyDescent="0.35">
      <c r="B62" s="68">
        <f t="shared" si="1"/>
        <v>44</v>
      </c>
      <c r="C62" s="69"/>
      <c r="D62" s="70"/>
      <c r="E62" s="70"/>
      <c r="F62" s="70"/>
      <c r="G62" s="70"/>
      <c r="H62" s="87" t="b">
        <v>0</v>
      </c>
      <c r="I62" s="87" t="b">
        <v>0</v>
      </c>
      <c r="J62" s="70"/>
      <c r="K62" s="70"/>
      <c r="L62" s="167"/>
      <c r="M62" s="135"/>
      <c r="N62" s="92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7"/>
      <c r="Z62" s="67">
        <f t="shared" si="0"/>
        <v>0</v>
      </c>
    </row>
    <row r="63" spans="2:26" ht="15.5" x14ac:dyDescent="0.35">
      <c r="B63" s="68">
        <f t="shared" si="1"/>
        <v>45</v>
      </c>
      <c r="C63" s="69"/>
      <c r="D63" s="70"/>
      <c r="E63" s="70"/>
      <c r="F63" s="70"/>
      <c r="G63" s="70"/>
      <c r="H63" s="87" t="b">
        <v>0</v>
      </c>
      <c r="I63" s="87" t="b">
        <v>0</v>
      </c>
      <c r="J63" s="70"/>
      <c r="K63" s="70"/>
      <c r="L63" s="167"/>
      <c r="M63" s="135"/>
      <c r="N63" s="92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7"/>
      <c r="Z63" s="67">
        <f t="shared" si="0"/>
        <v>0</v>
      </c>
    </row>
    <row r="64" spans="2:26" ht="15.5" x14ac:dyDescent="0.35">
      <c r="B64" s="68">
        <f t="shared" si="1"/>
        <v>46</v>
      </c>
      <c r="C64" s="69"/>
      <c r="D64" s="70"/>
      <c r="E64" s="70"/>
      <c r="F64" s="70"/>
      <c r="G64" s="70"/>
      <c r="H64" s="87" t="b">
        <v>0</v>
      </c>
      <c r="I64" s="87" t="b">
        <v>0</v>
      </c>
      <c r="J64" s="70"/>
      <c r="K64" s="70"/>
      <c r="L64" s="167"/>
      <c r="M64" s="135"/>
      <c r="N64" s="92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7"/>
      <c r="Z64" s="67">
        <f t="shared" si="0"/>
        <v>0</v>
      </c>
    </row>
    <row r="65" spans="2:26" ht="15.5" x14ac:dyDescent="0.35">
      <c r="B65" s="68">
        <f t="shared" si="1"/>
        <v>47</v>
      </c>
      <c r="C65" s="69"/>
      <c r="D65" s="70"/>
      <c r="E65" s="70"/>
      <c r="F65" s="70"/>
      <c r="G65" s="70"/>
      <c r="H65" s="87" t="b">
        <v>0</v>
      </c>
      <c r="I65" s="87" t="b">
        <v>0</v>
      </c>
      <c r="J65" s="70"/>
      <c r="K65" s="70"/>
      <c r="L65" s="167"/>
      <c r="M65" s="135"/>
      <c r="N65" s="92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7"/>
      <c r="Z65" s="67">
        <f t="shared" si="0"/>
        <v>0</v>
      </c>
    </row>
    <row r="66" spans="2:26" ht="15.5" x14ac:dyDescent="0.35">
      <c r="B66" s="68">
        <f t="shared" si="1"/>
        <v>48</v>
      </c>
      <c r="C66" s="69"/>
      <c r="D66" s="70"/>
      <c r="E66" s="70"/>
      <c r="F66" s="70"/>
      <c r="G66" s="70"/>
      <c r="H66" s="87" t="b">
        <v>0</v>
      </c>
      <c r="I66" s="87" t="b">
        <v>0</v>
      </c>
      <c r="J66" s="70"/>
      <c r="K66" s="70"/>
      <c r="L66" s="167"/>
      <c r="M66" s="135"/>
      <c r="N66" s="92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7"/>
      <c r="Z66" s="67">
        <f t="shared" si="0"/>
        <v>0</v>
      </c>
    </row>
    <row r="67" spans="2:26" ht="15.5" x14ac:dyDescent="0.35">
      <c r="B67" s="68">
        <f t="shared" si="1"/>
        <v>49</v>
      </c>
      <c r="C67" s="69"/>
      <c r="D67" s="70"/>
      <c r="E67" s="70"/>
      <c r="F67" s="70"/>
      <c r="G67" s="70"/>
      <c r="H67" s="87" t="b">
        <v>0</v>
      </c>
      <c r="I67" s="87" t="b">
        <v>0</v>
      </c>
      <c r="J67" s="70"/>
      <c r="K67" s="70"/>
      <c r="L67" s="167"/>
      <c r="M67" s="135"/>
      <c r="N67" s="92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7"/>
      <c r="Z67" s="67">
        <f t="shared" si="0"/>
        <v>0</v>
      </c>
    </row>
    <row r="68" spans="2:26" ht="16" thickBot="1" x14ac:dyDescent="0.4">
      <c r="B68" s="73">
        <f t="shared" si="1"/>
        <v>50</v>
      </c>
      <c r="C68" s="74"/>
      <c r="D68" s="75"/>
      <c r="E68" s="75"/>
      <c r="F68" s="75"/>
      <c r="G68" s="75"/>
      <c r="H68" s="89" t="b">
        <v>0</v>
      </c>
      <c r="I68" s="89" t="b">
        <v>0</v>
      </c>
      <c r="J68" s="75"/>
      <c r="K68" s="75"/>
      <c r="L68" s="168"/>
      <c r="M68" s="143"/>
      <c r="N68" s="93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7"/>
      <c r="Z68" s="67">
        <f t="shared" si="0"/>
        <v>0</v>
      </c>
    </row>
    <row r="69" spans="2:26" x14ac:dyDescent="0.35">
      <c r="B69" s="78"/>
      <c r="C69" s="78"/>
    </row>
    <row r="70" spans="2:26" x14ac:dyDescent="0.35">
      <c r="B70" s="78"/>
      <c r="C70" s="78"/>
      <c r="M70" s="57" t="s">
        <v>65</v>
      </c>
    </row>
    <row r="71" spans="2:26" ht="15" thickBot="1" x14ac:dyDescent="0.4">
      <c r="B71" s="78"/>
      <c r="C71" s="78"/>
    </row>
    <row r="72" spans="2:26" ht="15" thickBot="1" x14ac:dyDescent="0.4">
      <c r="B72" s="78" t="s">
        <v>66</v>
      </c>
      <c r="C72" s="57"/>
      <c r="D72" s="79"/>
      <c r="E72" s="79"/>
      <c r="F72" s="79"/>
      <c r="G72" s="80" t="s">
        <v>37</v>
      </c>
      <c r="M72" s="81"/>
      <c r="P72" s="78"/>
    </row>
    <row r="73" spans="2:26" x14ac:dyDescent="0.35">
      <c r="B73" s="78"/>
      <c r="C73" s="57"/>
      <c r="G73" s="82" t="s">
        <v>121</v>
      </c>
      <c r="P73" s="78"/>
    </row>
    <row r="74" spans="2:26" x14ac:dyDescent="0.35">
      <c r="B74" s="78"/>
      <c r="C74" s="57"/>
      <c r="G74" s="82"/>
      <c r="P74" s="78"/>
    </row>
    <row r="75" spans="2:26" ht="15" thickBot="1" x14ac:dyDescent="0.4">
      <c r="B75" s="78"/>
      <c r="C75" s="57"/>
      <c r="G75" s="82"/>
      <c r="P75" s="78"/>
    </row>
    <row r="76" spans="2:26" ht="15" thickBot="1" x14ac:dyDescent="0.4">
      <c r="B76" s="78" t="s">
        <v>36</v>
      </c>
      <c r="C76" s="57"/>
      <c r="D76" s="79"/>
      <c r="E76" s="79"/>
      <c r="F76" s="79"/>
      <c r="G76" s="80" t="s">
        <v>37</v>
      </c>
      <c r="M76" s="81"/>
      <c r="P76" s="78"/>
      <c r="R76" s="83"/>
    </row>
    <row r="77" spans="2:26" x14ac:dyDescent="0.35">
      <c r="B77" s="78"/>
      <c r="C77" s="57"/>
      <c r="G77" s="82" t="s">
        <v>71</v>
      </c>
      <c r="P77" s="78"/>
    </row>
    <row r="78" spans="2:26" x14ac:dyDescent="0.35">
      <c r="B78" s="78"/>
      <c r="C78" s="78"/>
      <c r="O78" s="78"/>
      <c r="P78" s="78"/>
    </row>
    <row r="79" spans="2:26" x14ac:dyDescent="0.35">
      <c r="B79" s="78"/>
      <c r="C79" s="78"/>
      <c r="O79" s="78"/>
      <c r="P79" s="78"/>
    </row>
    <row r="81" spans="2:2" x14ac:dyDescent="0.35">
      <c r="B81" s="58" t="s">
        <v>76</v>
      </c>
    </row>
    <row r="82" spans="2:2" x14ac:dyDescent="0.35">
      <c r="B82" s="58" t="s">
        <v>77</v>
      </c>
    </row>
    <row r="83" spans="2:2" x14ac:dyDescent="0.35">
      <c r="B83" s="58" t="s">
        <v>90</v>
      </c>
    </row>
    <row r="84" spans="2:2" x14ac:dyDescent="0.35">
      <c r="B84" s="58" t="s">
        <v>78</v>
      </c>
    </row>
    <row r="85" spans="2:2" x14ac:dyDescent="0.35">
      <c r="B85" s="58" t="s">
        <v>79</v>
      </c>
    </row>
  </sheetData>
  <mergeCells count="2">
    <mergeCell ref="N17:Z17"/>
    <mergeCell ref="G3:K3"/>
  </mergeCells>
  <conditionalFormatting sqref="M19:Z68">
    <cfRule type="expression" dxfId="0" priority="1">
      <formula>$L19="New Hire"</formula>
    </cfRule>
  </conditionalFormatting>
  <dataValidations count="1">
    <dataValidation type="list" allowBlank="1" showInputMessage="1" showErrorMessage="1" sqref="E19:E68" xr:uid="{3DE8A96D-5204-4030-9A64-EC7D8C73E1B4}">
      <formula1>"Local, Foreigner"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FEDFA54-60EC-4B8D-8B41-D4EB0AFA33A5}">
          <x14:formula1>
            <xm:f>List!$B$3:$B$18</xm:f>
          </x14:formula1>
          <xm:sqref>G3</xm:sqref>
        </x14:dataValidation>
        <x14:dataValidation type="list" allowBlank="1" showInputMessage="1" showErrorMessage="1" xr:uid="{4C2175A2-3148-4EE7-ADCA-8676E81D4440}">
          <x14:formula1>
            <xm:f>List!$C$3:$C$7</xm:f>
          </x14:formula1>
          <xm:sqref>J19:J68</xm:sqref>
        </x14:dataValidation>
        <x14:dataValidation type="list" allowBlank="1" showInputMessage="1" showErrorMessage="1" xr:uid="{FA77C7A4-F0CF-41CC-B488-387AE0CF2C02}">
          <x14:formula1>
            <xm:f>List!$D$3:$D$6</xm:f>
          </x14:formula1>
          <xm:sqref>K19:K68</xm:sqref>
        </x14:dataValidation>
        <x14:dataValidation type="list" allowBlank="1" showInputMessage="1" showErrorMessage="1" xr:uid="{5D68D0EF-EB3D-42A2-BB51-DE3BE66A21DC}">
          <x14:formula1>
            <xm:f>List!$E$3:$E$5</xm:f>
          </x14:formula1>
          <xm:sqref>L19:L68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6F7A3-2708-44CC-81B2-B1909F92795F}">
  <dimension ref="B1:S80"/>
  <sheetViews>
    <sheetView topLeftCell="A4" zoomScale="55" zoomScaleNormal="55" workbookViewId="0">
      <selection activeCell="K16" sqref="K16"/>
    </sheetView>
  </sheetViews>
  <sheetFormatPr defaultColWidth="8.81640625" defaultRowHeight="14.5" x14ac:dyDescent="0.35"/>
  <cols>
    <col min="1" max="1" width="2.81640625" style="96" customWidth="1"/>
    <col min="2" max="2" width="3.81640625" style="95" customWidth="1"/>
    <col min="3" max="3" width="12.54296875" style="96" customWidth="1"/>
    <col min="4" max="8" width="29.1796875" style="96" customWidth="1"/>
    <col min="9" max="9" width="20.1796875" style="100" customWidth="1"/>
    <col min="10" max="10" width="22.90625" style="100" customWidth="1"/>
    <col min="11" max="11" width="10.81640625" style="96" customWidth="1"/>
    <col min="12" max="12" width="11.81640625" style="96" customWidth="1"/>
    <col min="13" max="13" width="27.1796875" style="96" customWidth="1"/>
    <col min="14" max="14" width="12.81640625" style="96" bestFit="1" customWidth="1"/>
    <col min="15" max="15" width="15.6328125" style="96" customWidth="1"/>
    <col min="16" max="16" width="17.1796875" style="96" customWidth="1"/>
    <col min="17" max="16384" width="8.81640625" style="96"/>
  </cols>
  <sheetData>
    <row r="1" spans="2:19" x14ac:dyDescent="0.35">
      <c r="I1" s="97"/>
      <c r="J1" s="97"/>
    </row>
    <row r="2" spans="2:19" ht="23.5" x14ac:dyDescent="0.55000000000000004">
      <c r="B2" s="98" t="s">
        <v>104</v>
      </c>
      <c r="I2" s="97"/>
      <c r="J2" s="97"/>
    </row>
    <row r="3" spans="2:19" ht="15" thickBot="1" x14ac:dyDescent="0.4">
      <c r="B3" s="95" t="s">
        <v>69</v>
      </c>
      <c r="C3" s="95"/>
      <c r="F3" s="99" t="str">
        <f>'Time Sheet'!G3</f>
        <v>ST Engineering Advanced Networks &amp; Sensors Pte Ltd</v>
      </c>
      <c r="G3" s="99"/>
      <c r="H3" s="169"/>
    </row>
    <row r="4" spans="2:19" s="103" customFormat="1" ht="18.5" x14ac:dyDescent="0.45">
      <c r="B4" s="95"/>
      <c r="C4" s="95"/>
      <c r="D4" s="96"/>
      <c r="E4" s="96"/>
      <c r="F4" s="101" t="s">
        <v>70</v>
      </c>
      <c r="G4" s="101"/>
      <c r="H4" s="101"/>
      <c r="I4" s="102"/>
      <c r="J4" s="102"/>
      <c r="L4" s="104"/>
      <c r="S4" s="105"/>
    </row>
    <row r="5" spans="2:19" s="103" customFormat="1" ht="15.5" x14ac:dyDescent="0.35">
      <c r="B5" s="106" t="s">
        <v>44</v>
      </c>
      <c r="I5" s="102"/>
      <c r="J5" s="102"/>
      <c r="L5" s="104"/>
    </row>
    <row r="6" spans="2:19" s="108" customFormat="1" ht="16.5" x14ac:dyDescent="0.35">
      <c r="B6" s="107" t="s">
        <v>80</v>
      </c>
      <c r="I6" s="109"/>
      <c r="J6" s="109"/>
      <c r="L6" s="110"/>
    </row>
    <row r="7" spans="2:19" s="103" customFormat="1" x14ac:dyDescent="0.35">
      <c r="B7" s="111" t="s">
        <v>106</v>
      </c>
      <c r="I7" s="102"/>
      <c r="J7" s="102"/>
      <c r="L7" s="104"/>
    </row>
    <row r="8" spans="2:19" s="103" customFormat="1" x14ac:dyDescent="0.35">
      <c r="B8" s="112" t="s">
        <v>109</v>
      </c>
      <c r="I8" s="102"/>
      <c r="J8" s="102"/>
      <c r="L8" s="104"/>
    </row>
    <row r="9" spans="2:19" s="103" customFormat="1" x14ac:dyDescent="0.35">
      <c r="B9" s="112" t="s">
        <v>107</v>
      </c>
      <c r="I9" s="102"/>
      <c r="J9" s="102"/>
      <c r="L9" s="104"/>
    </row>
    <row r="10" spans="2:19" s="103" customFormat="1" x14ac:dyDescent="0.35">
      <c r="B10" s="112"/>
      <c r="I10" s="102"/>
      <c r="J10" s="102"/>
      <c r="L10" s="104"/>
    </row>
    <row r="11" spans="2:19" s="103" customFormat="1" ht="16.5" x14ac:dyDescent="0.35">
      <c r="B11" s="113" t="s">
        <v>92</v>
      </c>
      <c r="I11" s="102"/>
      <c r="J11" s="102"/>
      <c r="L11" s="104"/>
    </row>
    <row r="12" spans="2:19" ht="15" thickBot="1" x14ac:dyDescent="0.4">
      <c r="I12" s="114"/>
      <c r="J12" s="114"/>
      <c r="L12" s="115"/>
    </row>
    <row r="13" spans="2:19" ht="43.5" x14ac:dyDescent="0.35">
      <c r="B13" s="226" t="s">
        <v>81</v>
      </c>
      <c r="C13" s="227"/>
      <c r="D13" s="227"/>
      <c r="E13" s="173"/>
      <c r="F13" s="173"/>
      <c r="G13" s="173"/>
      <c r="H13" s="174"/>
      <c r="I13" s="146" t="s">
        <v>110</v>
      </c>
      <c r="J13" s="116" t="s">
        <v>108</v>
      </c>
      <c r="K13" s="117" t="s">
        <v>82</v>
      </c>
      <c r="L13" s="117" t="s">
        <v>83</v>
      </c>
      <c r="M13" s="148" t="s">
        <v>91</v>
      </c>
      <c r="N13" s="116" t="s">
        <v>129</v>
      </c>
      <c r="O13" s="149" t="s">
        <v>130</v>
      </c>
      <c r="P13" s="118" t="s">
        <v>89</v>
      </c>
    </row>
    <row r="14" spans="2:19" s="119" customFormat="1" ht="44" thickBot="1" x14ac:dyDescent="0.4">
      <c r="B14" s="152" t="s">
        <v>48</v>
      </c>
      <c r="C14" s="177" t="s">
        <v>49</v>
      </c>
      <c r="D14" s="177" t="s">
        <v>50</v>
      </c>
      <c r="E14" s="177" t="s">
        <v>126</v>
      </c>
      <c r="F14" s="177" t="s">
        <v>84</v>
      </c>
      <c r="G14" s="177" t="s">
        <v>85</v>
      </c>
      <c r="H14" s="178" t="s">
        <v>131</v>
      </c>
      <c r="I14" s="171" t="s">
        <v>86</v>
      </c>
      <c r="J14" s="156" t="s">
        <v>87</v>
      </c>
      <c r="K14" s="157" t="s">
        <v>111</v>
      </c>
      <c r="L14" s="157" t="s">
        <v>112</v>
      </c>
      <c r="M14" s="157" t="s">
        <v>114</v>
      </c>
      <c r="N14" s="157" t="s">
        <v>113</v>
      </c>
      <c r="O14" s="158" t="s">
        <v>127</v>
      </c>
      <c r="P14" s="159" t="s">
        <v>128</v>
      </c>
    </row>
    <row r="15" spans="2:19" ht="22.75" customHeight="1" x14ac:dyDescent="0.35">
      <c r="B15" s="153">
        <v>1</v>
      </c>
      <c r="C15" s="175">
        <f>'Time Sheet'!C19</f>
        <v>0</v>
      </c>
      <c r="D15" s="175">
        <f>'Time Sheet'!D19</f>
        <v>0</v>
      </c>
      <c r="E15" s="175">
        <f>'Time Sheet'!E19</f>
        <v>0</v>
      </c>
      <c r="F15" s="175">
        <f>'Time Sheet'!F19</f>
        <v>0</v>
      </c>
      <c r="G15" s="175">
        <f>'Time Sheet'!G19</f>
        <v>0</v>
      </c>
      <c r="H15" s="176" t="str">
        <f>'Time Sheet'!L19</f>
        <v>Upskilled</v>
      </c>
      <c r="I15" s="147">
        <v>10000</v>
      </c>
      <c r="J15" s="120">
        <f>IFERROR(IF(I15&lt;5000,"N/A",MIN(I15,20000)),"N/A")</f>
        <v>10000</v>
      </c>
      <c r="K15" s="121">
        <v>46023</v>
      </c>
      <c r="L15" s="121">
        <v>46387</v>
      </c>
      <c r="M15" s="160">
        <f>(NETWORKDAYS(K15,L15))*8.8</f>
        <v>2296.8000000000002</v>
      </c>
      <c r="N15" s="150">
        <f>IF(H15="New Hire","N/A",'Time Sheet'!Z19)</f>
        <v>40</v>
      </c>
      <c r="O15" s="151">
        <f>IF(H15="New Hire",100%,N15/M15)</f>
        <v>1.7415534656913968E-2</v>
      </c>
      <c r="P15" s="180">
        <f>J15*O15</f>
        <v>174.15534656913968</v>
      </c>
    </row>
    <row r="16" spans="2:19" ht="15.5" customHeight="1" x14ac:dyDescent="0.35">
      <c r="B16" s="68">
        <f>B15+1</f>
        <v>2</v>
      </c>
      <c r="C16" s="154">
        <f>'Time Sheet'!C20</f>
        <v>0</v>
      </c>
      <c r="D16" s="154">
        <f>'Time Sheet'!D20</f>
        <v>0</v>
      </c>
      <c r="E16" s="154">
        <f>'Time Sheet'!E20</f>
        <v>0</v>
      </c>
      <c r="F16" s="154">
        <f>'Time Sheet'!F20</f>
        <v>0</v>
      </c>
      <c r="G16" s="154">
        <f>'Time Sheet'!G20</f>
        <v>0</v>
      </c>
      <c r="H16" s="172" t="str">
        <f>'Time Sheet'!L20</f>
        <v>New Hire</v>
      </c>
      <c r="I16" s="147">
        <v>10000</v>
      </c>
      <c r="J16" s="120">
        <f t="shared" ref="J16:J64" si="0">IFERROR(IF(I16&lt;5000,"N/A",MIN(I16,20000)),"N/A")</f>
        <v>10000</v>
      </c>
      <c r="K16" s="121">
        <v>46023</v>
      </c>
      <c r="L16" s="121">
        <v>46326</v>
      </c>
      <c r="M16" s="160">
        <f t="shared" ref="M16:M64" si="1">(NETWORKDAYS(K16,L16))*8.8</f>
        <v>1909.6000000000001</v>
      </c>
      <c r="N16" s="150" t="str">
        <f>IF(H16="New Hire","N/A",'Time Sheet'!Z20)</f>
        <v>N/A</v>
      </c>
      <c r="O16" s="179">
        <f t="shared" ref="O16:O64" si="2">IF(H16="New Hire",100%,N16/M16)</f>
        <v>1</v>
      </c>
      <c r="P16" s="180">
        <f t="shared" ref="P16:P64" si="3">J16*O16</f>
        <v>10000</v>
      </c>
    </row>
    <row r="17" spans="2:16" ht="15.5" x14ac:dyDescent="0.35">
      <c r="B17" s="68">
        <f t="shared" ref="B17:B64" si="4">B16+1</f>
        <v>3</v>
      </c>
      <c r="C17" s="154">
        <f>'Time Sheet'!C21</f>
        <v>0</v>
      </c>
      <c r="D17" s="154">
        <f>'Time Sheet'!D21</f>
        <v>0</v>
      </c>
      <c r="E17" s="154">
        <f>'Time Sheet'!E21</f>
        <v>0</v>
      </c>
      <c r="F17" s="154">
        <f>'Time Sheet'!F21</f>
        <v>0</v>
      </c>
      <c r="G17" s="154">
        <f>'Time Sheet'!G21</f>
        <v>0</v>
      </c>
      <c r="H17" s="172" t="str">
        <f>'Time Sheet'!L21</f>
        <v>Upskilled</v>
      </c>
      <c r="I17" s="147">
        <v>10000</v>
      </c>
      <c r="J17" s="120">
        <f t="shared" si="0"/>
        <v>10000</v>
      </c>
      <c r="K17" s="121">
        <v>46023</v>
      </c>
      <c r="L17" s="121">
        <v>46326</v>
      </c>
      <c r="M17" s="160">
        <f t="shared" si="1"/>
        <v>1909.6000000000001</v>
      </c>
      <c r="N17" s="150">
        <f>IF(H17="New Hire","N/A",'Time Sheet'!Z21)</f>
        <v>0</v>
      </c>
      <c r="O17" s="179">
        <f t="shared" si="2"/>
        <v>0</v>
      </c>
      <c r="P17" s="180">
        <f t="shared" si="3"/>
        <v>0</v>
      </c>
    </row>
    <row r="18" spans="2:16" ht="15.5" x14ac:dyDescent="0.35">
      <c r="B18" s="68">
        <f t="shared" si="4"/>
        <v>4</v>
      </c>
      <c r="C18" s="154">
        <f>'Time Sheet'!C22</f>
        <v>0</v>
      </c>
      <c r="D18" s="154">
        <f>'Time Sheet'!D22</f>
        <v>0</v>
      </c>
      <c r="E18" s="154">
        <f>'Time Sheet'!E22</f>
        <v>0</v>
      </c>
      <c r="F18" s="154">
        <f>'Time Sheet'!F22</f>
        <v>0</v>
      </c>
      <c r="G18" s="154">
        <f>'Time Sheet'!G22</f>
        <v>0</v>
      </c>
      <c r="H18" s="172" t="str">
        <f>'Time Sheet'!L22</f>
        <v>New Hire</v>
      </c>
      <c r="I18" s="147">
        <v>10000</v>
      </c>
      <c r="J18" s="120">
        <f t="shared" si="0"/>
        <v>10000</v>
      </c>
      <c r="K18" s="121">
        <v>46023</v>
      </c>
      <c r="L18" s="121">
        <v>46326</v>
      </c>
      <c r="M18" s="160">
        <f t="shared" si="1"/>
        <v>1909.6000000000001</v>
      </c>
      <c r="N18" s="150" t="str">
        <f>IF(H18="New Hire","N/A",'Time Sheet'!Z22)</f>
        <v>N/A</v>
      </c>
      <c r="O18" s="179">
        <f t="shared" si="2"/>
        <v>1</v>
      </c>
      <c r="P18" s="180">
        <f t="shared" si="3"/>
        <v>10000</v>
      </c>
    </row>
    <row r="19" spans="2:16" ht="15.5" x14ac:dyDescent="0.35">
      <c r="B19" s="68">
        <f t="shared" si="4"/>
        <v>5</v>
      </c>
      <c r="C19" s="154">
        <f>'Time Sheet'!C23</f>
        <v>0</v>
      </c>
      <c r="D19" s="154">
        <f>'Time Sheet'!D23</f>
        <v>0</v>
      </c>
      <c r="E19" s="154">
        <f>'Time Sheet'!E23</f>
        <v>0</v>
      </c>
      <c r="F19" s="154">
        <f>'Time Sheet'!F23</f>
        <v>0</v>
      </c>
      <c r="G19" s="154">
        <f>'Time Sheet'!G23</f>
        <v>0</v>
      </c>
      <c r="H19" s="172" t="str">
        <f>'Time Sheet'!L23</f>
        <v>New Hire</v>
      </c>
      <c r="I19" s="147">
        <v>10000</v>
      </c>
      <c r="J19" s="120">
        <f t="shared" si="0"/>
        <v>10000</v>
      </c>
      <c r="K19" s="121">
        <v>46023</v>
      </c>
      <c r="L19" s="121">
        <v>46326</v>
      </c>
      <c r="M19" s="160">
        <f t="shared" si="1"/>
        <v>1909.6000000000001</v>
      </c>
      <c r="N19" s="150" t="str">
        <f>IF(H19="New Hire","N/A",'Time Sheet'!Z23)</f>
        <v>N/A</v>
      </c>
      <c r="O19" s="179">
        <f t="shared" si="2"/>
        <v>1</v>
      </c>
      <c r="P19" s="180">
        <f t="shared" si="3"/>
        <v>10000</v>
      </c>
    </row>
    <row r="20" spans="2:16" ht="15.5" x14ac:dyDescent="0.35">
      <c r="B20" s="68">
        <f t="shared" si="4"/>
        <v>6</v>
      </c>
      <c r="C20" s="154">
        <f>'Time Sheet'!C24</f>
        <v>0</v>
      </c>
      <c r="D20" s="154">
        <f>'Time Sheet'!D24</f>
        <v>0</v>
      </c>
      <c r="E20" s="154">
        <f>'Time Sheet'!E24</f>
        <v>0</v>
      </c>
      <c r="F20" s="154">
        <f>'Time Sheet'!F24</f>
        <v>0</v>
      </c>
      <c r="G20" s="154">
        <f>'Time Sheet'!G24</f>
        <v>0</v>
      </c>
      <c r="H20" s="172" t="str">
        <f>'Time Sheet'!L24</f>
        <v>New Hire</v>
      </c>
      <c r="I20" s="147">
        <v>10000</v>
      </c>
      <c r="J20" s="120">
        <f t="shared" si="0"/>
        <v>10000</v>
      </c>
      <c r="K20" s="121">
        <v>46023</v>
      </c>
      <c r="L20" s="121">
        <v>46326</v>
      </c>
      <c r="M20" s="160">
        <f t="shared" si="1"/>
        <v>1909.6000000000001</v>
      </c>
      <c r="N20" s="150" t="str">
        <f>IF(H20="New Hire","N/A",'Time Sheet'!Z24)</f>
        <v>N/A</v>
      </c>
      <c r="O20" s="179">
        <f t="shared" si="2"/>
        <v>1</v>
      </c>
      <c r="P20" s="180">
        <f t="shared" si="3"/>
        <v>10000</v>
      </c>
    </row>
    <row r="21" spans="2:16" ht="15.5" x14ac:dyDescent="0.35">
      <c r="B21" s="68">
        <f t="shared" si="4"/>
        <v>7</v>
      </c>
      <c r="C21" s="154">
        <f>'Time Sheet'!C25</f>
        <v>0</v>
      </c>
      <c r="D21" s="154">
        <f>'Time Sheet'!D25</f>
        <v>0</v>
      </c>
      <c r="E21" s="154">
        <f>'Time Sheet'!E25</f>
        <v>0</v>
      </c>
      <c r="F21" s="154">
        <f>'Time Sheet'!F25</f>
        <v>0</v>
      </c>
      <c r="G21" s="154">
        <f>'Time Sheet'!G25</f>
        <v>0</v>
      </c>
      <c r="H21" s="172" t="str">
        <f>'Time Sheet'!L25</f>
        <v>New Hire</v>
      </c>
      <c r="I21" s="147">
        <v>10000</v>
      </c>
      <c r="J21" s="120">
        <f t="shared" si="0"/>
        <v>10000</v>
      </c>
      <c r="K21" s="121">
        <v>46023</v>
      </c>
      <c r="L21" s="121">
        <v>46326</v>
      </c>
      <c r="M21" s="160">
        <f t="shared" si="1"/>
        <v>1909.6000000000001</v>
      </c>
      <c r="N21" s="150" t="str">
        <f>IF(H21="New Hire","N/A",'Time Sheet'!Z25)</f>
        <v>N/A</v>
      </c>
      <c r="O21" s="179">
        <f t="shared" si="2"/>
        <v>1</v>
      </c>
      <c r="P21" s="180">
        <f t="shared" si="3"/>
        <v>10000</v>
      </c>
    </row>
    <row r="22" spans="2:16" ht="15.5" x14ac:dyDescent="0.35">
      <c r="B22" s="68">
        <f t="shared" si="4"/>
        <v>8</v>
      </c>
      <c r="C22" s="154">
        <f>'Time Sheet'!C26</f>
        <v>0</v>
      </c>
      <c r="D22" s="154">
        <f>'Time Sheet'!D26</f>
        <v>0</v>
      </c>
      <c r="E22" s="154">
        <f>'Time Sheet'!E26</f>
        <v>0</v>
      </c>
      <c r="F22" s="154">
        <f>'Time Sheet'!F26</f>
        <v>0</v>
      </c>
      <c r="G22" s="154">
        <f>'Time Sheet'!G26</f>
        <v>0</v>
      </c>
      <c r="H22" s="172" t="str">
        <f>'Time Sheet'!L26</f>
        <v>New Hire</v>
      </c>
      <c r="I22" s="147">
        <v>10000</v>
      </c>
      <c r="J22" s="120">
        <f t="shared" si="0"/>
        <v>10000</v>
      </c>
      <c r="K22" s="121">
        <v>46023</v>
      </c>
      <c r="L22" s="121">
        <v>46326</v>
      </c>
      <c r="M22" s="160">
        <f t="shared" si="1"/>
        <v>1909.6000000000001</v>
      </c>
      <c r="N22" s="150" t="str">
        <f>IF(H22="New Hire","N/A",'Time Sheet'!Z26)</f>
        <v>N/A</v>
      </c>
      <c r="O22" s="179">
        <f t="shared" si="2"/>
        <v>1</v>
      </c>
      <c r="P22" s="180">
        <f t="shared" si="3"/>
        <v>10000</v>
      </c>
    </row>
    <row r="23" spans="2:16" ht="15.5" x14ac:dyDescent="0.35">
      <c r="B23" s="68">
        <f t="shared" si="4"/>
        <v>9</v>
      </c>
      <c r="C23" s="154">
        <f>'Time Sheet'!C27</f>
        <v>0</v>
      </c>
      <c r="D23" s="154">
        <f>'Time Sheet'!D27</f>
        <v>0</v>
      </c>
      <c r="E23" s="154">
        <f>'Time Sheet'!E27</f>
        <v>0</v>
      </c>
      <c r="F23" s="154">
        <f>'Time Sheet'!F27</f>
        <v>0</v>
      </c>
      <c r="G23" s="154">
        <f>'Time Sheet'!G27</f>
        <v>0</v>
      </c>
      <c r="H23" s="172" t="str">
        <f>'Time Sheet'!L27</f>
        <v>New Hire</v>
      </c>
      <c r="I23" s="147">
        <v>10000</v>
      </c>
      <c r="J23" s="120">
        <f t="shared" si="0"/>
        <v>10000</v>
      </c>
      <c r="K23" s="121">
        <v>46023</v>
      </c>
      <c r="L23" s="121">
        <v>46326</v>
      </c>
      <c r="M23" s="160">
        <f t="shared" si="1"/>
        <v>1909.6000000000001</v>
      </c>
      <c r="N23" s="150" t="str">
        <f>IF(H23="New Hire","N/A",'Time Sheet'!Z27)</f>
        <v>N/A</v>
      </c>
      <c r="O23" s="179">
        <f t="shared" si="2"/>
        <v>1</v>
      </c>
      <c r="P23" s="180">
        <f t="shared" si="3"/>
        <v>10000</v>
      </c>
    </row>
    <row r="24" spans="2:16" ht="15.5" x14ac:dyDescent="0.35">
      <c r="B24" s="68">
        <f t="shared" si="4"/>
        <v>10</v>
      </c>
      <c r="C24" s="154">
        <f>'Time Sheet'!C28</f>
        <v>0</v>
      </c>
      <c r="D24" s="154">
        <f>'Time Sheet'!D28</f>
        <v>0</v>
      </c>
      <c r="E24" s="154">
        <f>'Time Sheet'!E28</f>
        <v>0</v>
      </c>
      <c r="F24" s="154">
        <f>'Time Sheet'!F28</f>
        <v>0</v>
      </c>
      <c r="G24" s="154">
        <f>'Time Sheet'!G28</f>
        <v>0</v>
      </c>
      <c r="H24" s="172" t="str">
        <f>'Time Sheet'!L28</f>
        <v>New Hire</v>
      </c>
      <c r="I24" s="147">
        <v>10000</v>
      </c>
      <c r="J24" s="120">
        <f t="shared" si="0"/>
        <v>10000</v>
      </c>
      <c r="K24" s="121">
        <v>46023</v>
      </c>
      <c r="L24" s="121">
        <v>46326</v>
      </c>
      <c r="M24" s="160">
        <f t="shared" si="1"/>
        <v>1909.6000000000001</v>
      </c>
      <c r="N24" s="150" t="str">
        <f>IF(H24="New Hire","N/A",'Time Sheet'!Z28)</f>
        <v>N/A</v>
      </c>
      <c r="O24" s="179">
        <f t="shared" si="2"/>
        <v>1</v>
      </c>
      <c r="P24" s="180">
        <f t="shared" si="3"/>
        <v>10000</v>
      </c>
    </row>
    <row r="25" spans="2:16" ht="15.5" x14ac:dyDescent="0.35">
      <c r="B25" s="68">
        <f t="shared" si="4"/>
        <v>11</v>
      </c>
      <c r="C25" s="154">
        <f>'Time Sheet'!C29</f>
        <v>0</v>
      </c>
      <c r="D25" s="154">
        <f>'Time Sheet'!D29</f>
        <v>0</v>
      </c>
      <c r="E25" s="154">
        <f>'Time Sheet'!E29</f>
        <v>0</v>
      </c>
      <c r="F25" s="154">
        <f>'Time Sheet'!F29</f>
        <v>0</v>
      </c>
      <c r="G25" s="154">
        <f>'Time Sheet'!G29</f>
        <v>0</v>
      </c>
      <c r="H25" s="172" t="str">
        <f>'Time Sheet'!L29</f>
        <v>New Hire</v>
      </c>
      <c r="I25" s="147">
        <v>10000</v>
      </c>
      <c r="J25" s="120">
        <f t="shared" si="0"/>
        <v>10000</v>
      </c>
      <c r="K25" s="121">
        <v>46023</v>
      </c>
      <c r="L25" s="121">
        <v>46326</v>
      </c>
      <c r="M25" s="160">
        <f t="shared" si="1"/>
        <v>1909.6000000000001</v>
      </c>
      <c r="N25" s="150" t="str">
        <f>IF(H25="New Hire","N/A",'Time Sheet'!Z29)</f>
        <v>N/A</v>
      </c>
      <c r="O25" s="179">
        <f t="shared" si="2"/>
        <v>1</v>
      </c>
      <c r="P25" s="180">
        <f t="shared" si="3"/>
        <v>10000</v>
      </c>
    </row>
    <row r="26" spans="2:16" ht="15.5" x14ac:dyDescent="0.35">
      <c r="B26" s="68">
        <f t="shared" si="4"/>
        <v>12</v>
      </c>
      <c r="C26" s="154">
        <f>'Time Sheet'!C30</f>
        <v>0</v>
      </c>
      <c r="D26" s="154">
        <f>'Time Sheet'!D30</f>
        <v>0</v>
      </c>
      <c r="E26" s="154">
        <f>'Time Sheet'!E30</f>
        <v>0</v>
      </c>
      <c r="F26" s="154">
        <f>'Time Sheet'!F30</f>
        <v>0</v>
      </c>
      <c r="G26" s="154">
        <f>'Time Sheet'!G30</f>
        <v>0</v>
      </c>
      <c r="H26" s="172" t="str">
        <f>'Time Sheet'!L30</f>
        <v>New Hire</v>
      </c>
      <c r="I26" s="147">
        <v>10000</v>
      </c>
      <c r="J26" s="120">
        <f t="shared" si="0"/>
        <v>10000</v>
      </c>
      <c r="K26" s="121">
        <v>46023</v>
      </c>
      <c r="L26" s="121">
        <v>46326</v>
      </c>
      <c r="M26" s="160">
        <f t="shared" si="1"/>
        <v>1909.6000000000001</v>
      </c>
      <c r="N26" s="150" t="str">
        <f>IF(H26="New Hire","N/A",'Time Sheet'!Z30)</f>
        <v>N/A</v>
      </c>
      <c r="O26" s="179">
        <f t="shared" si="2"/>
        <v>1</v>
      </c>
      <c r="P26" s="180">
        <f t="shared" si="3"/>
        <v>10000</v>
      </c>
    </row>
    <row r="27" spans="2:16" ht="15.5" x14ac:dyDescent="0.35">
      <c r="B27" s="68">
        <f t="shared" si="4"/>
        <v>13</v>
      </c>
      <c r="C27" s="154">
        <f>'Time Sheet'!C31</f>
        <v>0</v>
      </c>
      <c r="D27" s="154">
        <f>'Time Sheet'!D31</f>
        <v>0</v>
      </c>
      <c r="E27" s="154">
        <f>'Time Sheet'!E31</f>
        <v>0</v>
      </c>
      <c r="F27" s="154">
        <f>'Time Sheet'!F31</f>
        <v>0</v>
      </c>
      <c r="G27" s="154">
        <f>'Time Sheet'!G31</f>
        <v>0</v>
      </c>
      <c r="H27" s="172" t="str">
        <f>'Time Sheet'!L31</f>
        <v>New Hire</v>
      </c>
      <c r="I27" s="147">
        <v>10000</v>
      </c>
      <c r="J27" s="120">
        <f t="shared" si="0"/>
        <v>10000</v>
      </c>
      <c r="K27" s="121">
        <v>46023</v>
      </c>
      <c r="L27" s="121">
        <v>46326</v>
      </c>
      <c r="M27" s="160">
        <f t="shared" si="1"/>
        <v>1909.6000000000001</v>
      </c>
      <c r="N27" s="150" t="str">
        <f>IF(H27="New Hire","N/A",'Time Sheet'!Z31)</f>
        <v>N/A</v>
      </c>
      <c r="O27" s="179">
        <f t="shared" si="2"/>
        <v>1</v>
      </c>
      <c r="P27" s="180">
        <f t="shared" si="3"/>
        <v>10000</v>
      </c>
    </row>
    <row r="28" spans="2:16" ht="15.5" x14ac:dyDescent="0.35">
      <c r="B28" s="68">
        <f t="shared" si="4"/>
        <v>14</v>
      </c>
      <c r="C28" s="154">
        <f>'Time Sheet'!C32</f>
        <v>0</v>
      </c>
      <c r="D28" s="154">
        <f>'Time Sheet'!D32</f>
        <v>0</v>
      </c>
      <c r="E28" s="154">
        <f>'Time Sheet'!E32</f>
        <v>0</v>
      </c>
      <c r="F28" s="154">
        <f>'Time Sheet'!F32</f>
        <v>0</v>
      </c>
      <c r="G28" s="154">
        <f>'Time Sheet'!G32</f>
        <v>0</v>
      </c>
      <c r="H28" s="172" t="str">
        <f>'Time Sheet'!L32</f>
        <v>New Hire</v>
      </c>
      <c r="I28" s="147">
        <v>10000</v>
      </c>
      <c r="J28" s="120">
        <f t="shared" si="0"/>
        <v>10000</v>
      </c>
      <c r="K28" s="121">
        <v>46023</v>
      </c>
      <c r="L28" s="121">
        <v>46326</v>
      </c>
      <c r="M28" s="160">
        <f t="shared" si="1"/>
        <v>1909.6000000000001</v>
      </c>
      <c r="N28" s="150" t="str">
        <f>IF(H28="New Hire","N/A",'Time Sheet'!Z32)</f>
        <v>N/A</v>
      </c>
      <c r="O28" s="179">
        <f t="shared" si="2"/>
        <v>1</v>
      </c>
      <c r="P28" s="180">
        <f t="shared" si="3"/>
        <v>10000</v>
      </c>
    </row>
    <row r="29" spans="2:16" ht="15.5" x14ac:dyDescent="0.35">
      <c r="B29" s="68">
        <f t="shared" si="4"/>
        <v>15</v>
      </c>
      <c r="C29" s="154">
        <f>'Time Sheet'!C33</f>
        <v>0</v>
      </c>
      <c r="D29" s="154">
        <f>'Time Sheet'!D33</f>
        <v>0</v>
      </c>
      <c r="E29" s="154">
        <f>'Time Sheet'!E33</f>
        <v>0</v>
      </c>
      <c r="F29" s="154">
        <f>'Time Sheet'!F33</f>
        <v>0</v>
      </c>
      <c r="G29" s="154">
        <f>'Time Sheet'!G33</f>
        <v>0</v>
      </c>
      <c r="H29" s="172" t="str">
        <f>'Time Sheet'!L33</f>
        <v>New Hire</v>
      </c>
      <c r="I29" s="147">
        <v>10000</v>
      </c>
      <c r="J29" s="120">
        <f t="shared" si="0"/>
        <v>10000</v>
      </c>
      <c r="K29" s="121">
        <v>46023</v>
      </c>
      <c r="L29" s="121">
        <v>46326</v>
      </c>
      <c r="M29" s="160">
        <f t="shared" si="1"/>
        <v>1909.6000000000001</v>
      </c>
      <c r="N29" s="150" t="str">
        <f>IF(H29="New Hire","N/A",'Time Sheet'!Z33)</f>
        <v>N/A</v>
      </c>
      <c r="O29" s="179">
        <f t="shared" si="2"/>
        <v>1</v>
      </c>
      <c r="P29" s="180">
        <f t="shared" si="3"/>
        <v>10000</v>
      </c>
    </row>
    <row r="30" spans="2:16" ht="15.5" x14ac:dyDescent="0.35">
      <c r="B30" s="68">
        <f t="shared" si="4"/>
        <v>16</v>
      </c>
      <c r="C30" s="154">
        <f>'Time Sheet'!C34</f>
        <v>0</v>
      </c>
      <c r="D30" s="154">
        <f>'Time Sheet'!D34</f>
        <v>0</v>
      </c>
      <c r="E30" s="154">
        <f>'Time Sheet'!E34</f>
        <v>0</v>
      </c>
      <c r="F30" s="154">
        <f>'Time Sheet'!F34</f>
        <v>0</v>
      </c>
      <c r="G30" s="154">
        <f>'Time Sheet'!G34</f>
        <v>0</v>
      </c>
      <c r="H30" s="172" t="str">
        <f>'Time Sheet'!L34</f>
        <v>New Hire</v>
      </c>
      <c r="I30" s="147">
        <v>10000</v>
      </c>
      <c r="J30" s="120">
        <f t="shared" si="0"/>
        <v>10000</v>
      </c>
      <c r="K30" s="121">
        <v>46023</v>
      </c>
      <c r="L30" s="121">
        <v>46326</v>
      </c>
      <c r="M30" s="160">
        <f t="shared" si="1"/>
        <v>1909.6000000000001</v>
      </c>
      <c r="N30" s="150" t="str">
        <f>IF(H30="New Hire","N/A",'Time Sheet'!Z34)</f>
        <v>N/A</v>
      </c>
      <c r="O30" s="179">
        <f t="shared" si="2"/>
        <v>1</v>
      </c>
      <c r="P30" s="180">
        <f t="shared" si="3"/>
        <v>10000</v>
      </c>
    </row>
    <row r="31" spans="2:16" ht="15.5" x14ac:dyDescent="0.35">
      <c r="B31" s="68">
        <f t="shared" si="4"/>
        <v>17</v>
      </c>
      <c r="C31" s="154">
        <f>'Time Sheet'!C35</f>
        <v>0</v>
      </c>
      <c r="D31" s="154">
        <f>'Time Sheet'!D35</f>
        <v>0</v>
      </c>
      <c r="E31" s="154">
        <f>'Time Sheet'!E35</f>
        <v>0</v>
      </c>
      <c r="F31" s="154">
        <f>'Time Sheet'!F35</f>
        <v>0</v>
      </c>
      <c r="G31" s="154">
        <f>'Time Sheet'!G35</f>
        <v>0</v>
      </c>
      <c r="H31" s="172" t="str">
        <f>'Time Sheet'!L35</f>
        <v>New Hire</v>
      </c>
      <c r="I31" s="147">
        <v>10000</v>
      </c>
      <c r="J31" s="120">
        <f t="shared" si="0"/>
        <v>10000</v>
      </c>
      <c r="K31" s="121">
        <v>46023</v>
      </c>
      <c r="L31" s="121">
        <v>46326</v>
      </c>
      <c r="M31" s="160">
        <f t="shared" si="1"/>
        <v>1909.6000000000001</v>
      </c>
      <c r="N31" s="150" t="str">
        <f>IF(H31="New Hire","N/A",'Time Sheet'!Z35)</f>
        <v>N/A</v>
      </c>
      <c r="O31" s="179">
        <f t="shared" si="2"/>
        <v>1</v>
      </c>
      <c r="P31" s="180">
        <f t="shared" si="3"/>
        <v>10000</v>
      </c>
    </row>
    <row r="32" spans="2:16" ht="15.5" x14ac:dyDescent="0.35">
      <c r="B32" s="68">
        <f t="shared" si="4"/>
        <v>18</v>
      </c>
      <c r="C32" s="154">
        <f>'Time Sheet'!C36</f>
        <v>0</v>
      </c>
      <c r="D32" s="154">
        <f>'Time Sheet'!D36</f>
        <v>0</v>
      </c>
      <c r="E32" s="154">
        <f>'Time Sheet'!E36</f>
        <v>0</v>
      </c>
      <c r="F32" s="154">
        <f>'Time Sheet'!F36</f>
        <v>0</v>
      </c>
      <c r="G32" s="154">
        <f>'Time Sheet'!G36</f>
        <v>0</v>
      </c>
      <c r="H32" s="172">
        <f>'Time Sheet'!L36</f>
        <v>0</v>
      </c>
      <c r="I32" s="147">
        <v>10000</v>
      </c>
      <c r="J32" s="120">
        <f t="shared" si="0"/>
        <v>10000</v>
      </c>
      <c r="K32" s="121">
        <v>46023</v>
      </c>
      <c r="L32" s="121">
        <v>46326</v>
      </c>
      <c r="M32" s="160">
        <f t="shared" si="1"/>
        <v>1909.6000000000001</v>
      </c>
      <c r="N32" s="150">
        <f>IF(H32="New Hire","N/A",'Time Sheet'!Z36)</f>
        <v>0</v>
      </c>
      <c r="O32" s="179">
        <f t="shared" si="2"/>
        <v>0</v>
      </c>
      <c r="P32" s="180">
        <f t="shared" si="3"/>
        <v>0</v>
      </c>
    </row>
    <row r="33" spans="2:16" ht="15.5" x14ac:dyDescent="0.35">
      <c r="B33" s="68">
        <f t="shared" si="4"/>
        <v>19</v>
      </c>
      <c r="C33" s="154">
        <f>'Time Sheet'!C37</f>
        <v>0</v>
      </c>
      <c r="D33" s="154">
        <f>'Time Sheet'!D37</f>
        <v>0</v>
      </c>
      <c r="E33" s="154">
        <f>'Time Sheet'!E37</f>
        <v>0</v>
      </c>
      <c r="F33" s="154">
        <f>'Time Sheet'!F37</f>
        <v>0</v>
      </c>
      <c r="G33" s="154">
        <f>'Time Sheet'!G37</f>
        <v>0</v>
      </c>
      <c r="H33" s="172">
        <f>'Time Sheet'!L37</f>
        <v>0</v>
      </c>
      <c r="I33" s="147">
        <v>10000</v>
      </c>
      <c r="J33" s="120">
        <f t="shared" si="0"/>
        <v>10000</v>
      </c>
      <c r="K33" s="121">
        <v>46023</v>
      </c>
      <c r="L33" s="121">
        <v>46326</v>
      </c>
      <c r="M33" s="160">
        <f t="shared" si="1"/>
        <v>1909.6000000000001</v>
      </c>
      <c r="N33" s="150">
        <f>IF(H33="New Hire","N/A",'Time Sheet'!Z37)</f>
        <v>0</v>
      </c>
      <c r="O33" s="179">
        <f t="shared" si="2"/>
        <v>0</v>
      </c>
      <c r="P33" s="180">
        <f t="shared" si="3"/>
        <v>0</v>
      </c>
    </row>
    <row r="34" spans="2:16" ht="15.5" x14ac:dyDescent="0.35">
      <c r="B34" s="68">
        <f t="shared" si="4"/>
        <v>20</v>
      </c>
      <c r="C34" s="154">
        <f>'Time Sheet'!C38</f>
        <v>0</v>
      </c>
      <c r="D34" s="154">
        <f>'Time Sheet'!D38</f>
        <v>0</v>
      </c>
      <c r="E34" s="154">
        <f>'Time Sheet'!E38</f>
        <v>0</v>
      </c>
      <c r="F34" s="154">
        <f>'Time Sheet'!F38</f>
        <v>0</v>
      </c>
      <c r="G34" s="154">
        <f>'Time Sheet'!G38</f>
        <v>0</v>
      </c>
      <c r="H34" s="172">
        <f>'Time Sheet'!L38</f>
        <v>0</v>
      </c>
      <c r="I34" s="147">
        <v>10000</v>
      </c>
      <c r="J34" s="120">
        <f t="shared" si="0"/>
        <v>10000</v>
      </c>
      <c r="K34" s="121">
        <v>46023</v>
      </c>
      <c r="L34" s="121">
        <v>46326</v>
      </c>
      <c r="M34" s="160">
        <f t="shared" si="1"/>
        <v>1909.6000000000001</v>
      </c>
      <c r="N34" s="150">
        <f>IF(H34="New Hire","N/A",'Time Sheet'!Z38)</f>
        <v>0</v>
      </c>
      <c r="O34" s="179">
        <f t="shared" si="2"/>
        <v>0</v>
      </c>
      <c r="P34" s="180">
        <f t="shared" si="3"/>
        <v>0</v>
      </c>
    </row>
    <row r="35" spans="2:16" ht="15.5" x14ac:dyDescent="0.35">
      <c r="B35" s="68">
        <f t="shared" si="4"/>
        <v>21</v>
      </c>
      <c r="C35" s="154">
        <f>'Time Sheet'!C39</f>
        <v>0</v>
      </c>
      <c r="D35" s="154">
        <f>'Time Sheet'!D39</f>
        <v>0</v>
      </c>
      <c r="E35" s="154">
        <f>'Time Sheet'!E39</f>
        <v>0</v>
      </c>
      <c r="F35" s="154">
        <f>'Time Sheet'!F39</f>
        <v>0</v>
      </c>
      <c r="G35" s="154">
        <f>'Time Sheet'!G39</f>
        <v>0</v>
      </c>
      <c r="H35" s="172">
        <f>'Time Sheet'!L39</f>
        <v>0</v>
      </c>
      <c r="I35" s="147">
        <v>10000</v>
      </c>
      <c r="J35" s="120">
        <f t="shared" si="0"/>
        <v>10000</v>
      </c>
      <c r="K35" s="121">
        <v>46023</v>
      </c>
      <c r="L35" s="121">
        <v>46326</v>
      </c>
      <c r="M35" s="160">
        <f t="shared" si="1"/>
        <v>1909.6000000000001</v>
      </c>
      <c r="N35" s="150">
        <f>IF(H35="New Hire","N/A",'Time Sheet'!Z39)</f>
        <v>0</v>
      </c>
      <c r="O35" s="179">
        <f t="shared" si="2"/>
        <v>0</v>
      </c>
      <c r="P35" s="180">
        <f t="shared" si="3"/>
        <v>0</v>
      </c>
    </row>
    <row r="36" spans="2:16" ht="15.5" x14ac:dyDescent="0.35">
      <c r="B36" s="68">
        <f t="shared" si="4"/>
        <v>22</v>
      </c>
      <c r="C36" s="154">
        <f>'Time Sheet'!C40</f>
        <v>0</v>
      </c>
      <c r="D36" s="154">
        <f>'Time Sheet'!D40</f>
        <v>0</v>
      </c>
      <c r="E36" s="154">
        <f>'Time Sheet'!E40</f>
        <v>0</v>
      </c>
      <c r="F36" s="154">
        <f>'Time Sheet'!F40</f>
        <v>0</v>
      </c>
      <c r="G36" s="154">
        <f>'Time Sheet'!G40</f>
        <v>0</v>
      </c>
      <c r="H36" s="172">
        <f>'Time Sheet'!L40</f>
        <v>0</v>
      </c>
      <c r="I36" s="147">
        <v>10000</v>
      </c>
      <c r="J36" s="120">
        <f t="shared" si="0"/>
        <v>10000</v>
      </c>
      <c r="K36" s="121">
        <v>46023</v>
      </c>
      <c r="L36" s="121">
        <v>46326</v>
      </c>
      <c r="M36" s="160">
        <f t="shared" si="1"/>
        <v>1909.6000000000001</v>
      </c>
      <c r="N36" s="150">
        <f>IF(H36="New Hire","N/A",'Time Sheet'!Z40)</f>
        <v>0</v>
      </c>
      <c r="O36" s="179">
        <f t="shared" si="2"/>
        <v>0</v>
      </c>
      <c r="P36" s="180">
        <f t="shared" si="3"/>
        <v>0</v>
      </c>
    </row>
    <row r="37" spans="2:16" ht="15.5" x14ac:dyDescent="0.35">
      <c r="B37" s="68">
        <f t="shared" si="4"/>
        <v>23</v>
      </c>
      <c r="C37" s="154">
        <f>'Time Sheet'!C41</f>
        <v>0</v>
      </c>
      <c r="D37" s="154">
        <f>'Time Sheet'!D41</f>
        <v>0</v>
      </c>
      <c r="E37" s="154">
        <f>'Time Sheet'!E41</f>
        <v>0</v>
      </c>
      <c r="F37" s="154">
        <f>'Time Sheet'!F41</f>
        <v>0</v>
      </c>
      <c r="G37" s="154">
        <f>'Time Sheet'!G41</f>
        <v>0</v>
      </c>
      <c r="H37" s="172">
        <f>'Time Sheet'!L41</f>
        <v>0</v>
      </c>
      <c r="I37" s="147">
        <v>10000</v>
      </c>
      <c r="J37" s="120">
        <f t="shared" si="0"/>
        <v>10000</v>
      </c>
      <c r="K37" s="121">
        <v>46023</v>
      </c>
      <c r="L37" s="121">
        <v>46326</v>
      </c>
      <c r="M37" s="160">
        <f t="shared" si="1"/>
        <v>1909.6000000000001</v>
      </c>
      <c r="N37" s="150">
        <f>IF(H37="New Hire","N/A",'Time Sheet'!Z41)</f>
        <v>0</v>
      </c>
      <c r="O37" s="179">
        <f t="shared" si="2"/>
        <v>0</v>
      </c>
      <c r="P37" s="180">
        <f t="shared" si="3"/>
        <v>0</v>
      </c>
    </row>
    <row r="38" spans="2:16" ht="15.5" x14ac:dyDescent="0.35">
      <c r="B38" s="68">
        <f t="shared" si="4"/>
        <v>24</v>
      </c>
      <c r="C38" s="154">
        <f>'Time Sheet'!C42</f>
        <v>0</v>
      </c>
      <c r="D38" s="154">
        <f>'Time Sheet'!D42</f>
        <v>0</v>
      </c>
      <c r="E38" s="154">
        <f>'Time Sheet'!E42</f>
        <v>0</v>
      </c>
      <c r="F38" s="154">
        <f>'Time Sheet'!F42</f>
        <v>0</v>
      </c>
      <c r="G38" s="154">
        <f>'Time Sheet'!G42</f>
        <v>0</v>
      </c>
      <c r="H38" s="172">
        <f>'Time Sheet'!L42</f>
        <v>0</v>
      </c>
      <c r="I38" s="147">
        <v>10000</v>
      </c>
      <c r="J38" s="120">
        <f t="shared" si="0"/>
        <v>10000</v>
      </c>
      <c r="K38" s="121">
        <v>46023</v>
      </c>
      <c r="L38" s="121">
        <v>46326</v>
      </c>
      <c r="M38" s="160">
        <f t="shared" si="1"/>
        <v>1909.6000000000001</v>
      </c>
      <c r="N38" s="150">
        <f>IF(H38="New Hire","N/A",'Time Sheet'!Z42)</f>
        <v>0</v>
      </c>
      <c r="O38" s="179">
        <f t="shared" si="2"/>
        <v>0</v>
      </c>
      <c r="P38" s="180">
        <f t="shared" si="3"/>
        <v>0</v>
      </c>
    </row>
    <row r="39" spans="2:16" ht="15.5" x14ac:dyDescent="0.35">
      <c r="B39" s="68">
        <f t="shared" si="4"/>
        <v>25</v>
      </c>
      <c r="C39" s="154">
        <f>'Time Sheet'!C43</f>
        <v>0</v>
      </c>
      <c r="D39" s="154">
        <f>'Time Sheet'!D43</f>
        <v>0</v>
      </c>
      <c r="E39" s="154">
        <f>'Time Sheet'!E43</f>
        <v>0</v>
      </c>
      <c r="F39" s="154">
        <f>'Time Sheet'!F43</f>
        <v>0</v>
      </c>
      <c r="G39" s="154">
        <f>'Time Sheet'!G43</f>
        <v>0</v>
      </c>
      <c r="H39" s="172">
        <f>'Time Sheet'!L43</f>
        <v>0</v>
      </c>
      <c r="I39" s="147">
        <v>10000</v>
      </c>
      <c r="J39" s="120">
        <f t="shared" si="0"/>
        <v>10000</v>
      </c>
      <c r="K39" s="121">
        <v>46023</v>
      </c>
      <c r="L39" s="121">
        <v>46326</v>
      </c>
      <c r="M39" s="160">
        <f t="shared" si="1"/>
        <v>1909.6000000000001</v>
      </c>
      <c r="N39" s="150">
        <f>IF(H39="New Hire","N/A",'Time Sheet'!Z43)</f>
        <v>0</v>
      </c>
      <c r="O39" s="179">
        <f t="shared" si="2"/>
        <v>0</v>
      </c>
      <c r="P39" s="180">
        <f t="shared" si="3"/>
        <v>0</v>
      </c>
    </row>
    <row r="40" spans="2:16" ht="15.5" x14ac:dyDescent="0.35">
      <c r="B40" s="68">
        <f t="shared" si="4"/>
        <v>26</v>
      </c>
      <c r="C40" s="154">
        <f>'Time Sheet'!C44</f>
        <v>0</v>
      </c>
      <c r="D40" s="154">
        <f>'Time Sheet'!D44</f>
        <v>0</v>
      </c>
      <c r="E40" s="154">
        <f>'Time Sheet'!E44</f>
        <v>0</v>
      </c>
      <c r="F40" s="154">
        <f>'Time Sheet'!F44</f>
        <v>0</v>
      </c>
      <c r="G40" s="154">
        <f>'Time Sheet'!G44</f>
        <v>0</v>
      </c>
      <c r="H40" s="172">
        <f>'Time Sheet'!L44</f>
        <v>0</v>
      </c>
      <c r="I40" s="147">
        <v>10000</v>
      </c>
      <c r="J40" s="120">
        <f t="shared" si="0"/>
        <v>10000</v>
      </c>
      <c r="K40" s="121">
        <v>46023</v>
      </c>
      <c r="L40" s="121">
        <v>46326</v>
      </c>
      <c r="M40" s="160">
        <f t="shared" si="1"/>
        <v>1909.6000000000001</v>
      </c>
      <c r="N40" s="150">
        <f>IF(H40="New Hire","N/A",'Time Sheet'!Z44)</f>
        <v>0</v>
      </c>
      <c r="O40" s="179">
        <f t="shared" si="2"/>
        <v>0</v>
      </c>
      <c r="P40" s="180">
        <f t="shared" si="3"/>
        <v>0</v>
      </c>
    </row>
    <row r="41" spans="2:16" ht="15.5" x14ac:dyDescent="0.35">
      <c r="B41" s="68">
        <f t="shared" si="4"/>
        <v>27</v>
      </c>
      <c r="C41" s="154">
        <f>'Time Sheet'!C45</f>
        <v>0</v>
      </c>
      <c r="D41" s="154">
        <f>'Time Sheet'!D45</f>
        <v>0</v>
      </c>
      <c r="E41" s="154">
        <f>'Time Sheet'!E45</f>
        <v>0</v>
      </c>
      <c r="F41" s="154">
        <f>'Time Sheet'!F45</f>
        <v>0</v>
      </c>
      <c r="G41" s="154">
        <f>'Time Sheet'!G45</f>
        <v>0</v>
      </c>
      <c r="H41" s="172">
        <f>'Time Sheet'!L45</f>
        <v>0</v>
      </c>
      <c r="I41" s="147">
        <v>10000</v>
      </c>
      <c r="J41" s="120">
        <f t="shared" si="0"/>
        <v>10000</v>
      </c>
      <c r="K41" s="121">
        <v>46023</v>
      </c>
      <c r="L41" s="121">
        <v>46326</v>
      </c>
      <c r="M41" s="160">
        <f t="shared" si="1"/>
        <v>1909.6000000000001</v>
      </c>
      <c r="N41" s="150">
        <f>IF(H41="New Hire","N/A",'Time Sheet'!Z45)</f>
        <v>0</v>
      </c>
      <c r="O41" s="179">
        <f t="shared" si="2"/>
        <v>0</v>
      </c>
      <c r="P41" s="180">
        <f t="shared" si="3"/>
        <v>0</v>
      </c>
    </row>
    <row r="42" spans="2:16" ht="15.5" x14ac:dyDescent="0.35">
      <c r="B42" s="68">
        <f t="shared" si="4"/>
        <v>28</v>
      </c>
      <c r="C42" s="154">
        <f>'Time Sheet'!C46</f>
        <v>0</v>
      </c>
      <c r="D42" s="154">
        <f>'Time Sheet'!D46</f>
        <v>0</v>
      </c>
      <c r="E42" s="154">
        <f>'Time Sheet'!E46</f>
        <v>0</v>
      </c>
      <c r="F42" s="154">
        <f>'Time Sheet'!F46</f>
        <v>0</v>
      </c>
      <c r="G42" s="154">
        <f>'Time Sheet'!G46</f>
        <v>0</v>
      </c>
      <c r="H42" s="172">
        <f>'Time Sheet'!L46</f>
        <v>0</v>
      </c>
      <c r="I42" s="147">
        <v>10000</v>
      </c>
      <c r="J42" s="120">
        <f t="shared" si="0"/>
        <v>10000</v>
      </c>
      <c r="K42" s="121">
        <v>46023</v>
      </c>
      <c r="L42" s="121">
        <v>46326</v>
      </c>
      <c r="M42" s="160">
        <f t="shared" si="1"/>
        <v>1909.6000000000001</v>
      </c>
      <c r="N42" s="150">
        <f>IF(H42="New Hire","N/A",'Time Sheet'!Z46)</f>
        <v>0</v>
      </c>
      <c r="O42" s="179">
        <f t="shared" si="2"/>
        <v>0</v>
      </c>
      <c r="P42" s="180">
        <f t="shared" si="3"/>
        <v>0</v>
      </c>
    </row>
    <row r="43" spans="2:16" ht="15.5" x14ac:dyDescent="0.35">
      <c r="B43" s="68">
        <f t="shared" si="4"/>
        <v>29</v>
      </c>
      <c r="C43" s="154">
        <f>'Time Sheet'!C47</f>
        <v>0</v>
      </c>
      <c r="D43" s="154">
        <f>'Time Sheet'!D47</f>
        <v>0</v>
      </c>
      <c r="E43" s="154">
        <f>'Time Sheet'!E47</f>
        <v>0</v>
      </c>
      <c r="F43" s="154">
        <f>'Time Sheet'!F47</f>
        <v>0</v>
      </c>
      <c r="G43" s="154">
        <f>'Time Sheet'!G47</f>
        <v>0</v>
      </c>
      <c r="H43" s="172">
        <f>'Time Sheet'!L47</f>
        <v>0</v>
      </c>
      <c r="I43" s="147">
        <v>10000</v>
      </c>
      <c r="J43" s="120">
        <f t="shared" si="0"/>
        <v>10000</v>
      </c>
      <c r="K43" s="121">
        <v>46023</v>
      </c>
      <c r="L43" s="121">
        <v>46326</v>
      </c>
      <c r="M43" s="160">
        <f t="shared" si="1"/>
        <v>1909.6000000000001</v>
      </c>
      <c r="N43" s="150">
        <f>IF(H43="New Hire","N/A",'Time Sheet'!Z47)</f>
        <v>0</v>
      </c>
      <c r="O43" s="179">
        <f t="shared" si="2"/>
        <v>0</v>
      </c>
      <c r="P43" s="180">
        <f t="shared" si="3"/>
        <v>0</v>
      </c>
    </row>
    <row r="44" spans="2:16" ht="15.5" x14ac:dyDescent="0.35">
      <c r="B44" s="68">
        <f t="shared" si="4"/>
        <v>30</v>
      </c>
      <c r="C44" s="154">
        <f>'Time Sheet'!C48</f>
        <v>0</v>
      </c>
      <c r="D44" s="154">
        <f>'Time Sheet'!D48</f>
        <v>0</v>
      </c>
      <c r="E44" s="154">
        <f>'Time Sheet'!E48</f>
        <v>0</v>
      </c>
      <c r="F44" s="154">
        <f>'Time Sheet'!F48</f>
        <v>0</v>
      </c>
      <c r="G44" s="154">
        <f>'Time Sheet'!G48</f>
        <v>0</v>
      </c>
      <c r="H44" s="172">
        <f>'Time Sheet'!L48</f>
        <v>0</v>
      </c>
      <c r="I44" s="147">
        <v>10000</v>
      </c>
      <c r="J44" s="120">
        <f t="shared" si="0"/>
        <v>10000</v>
      </c>
      <c r="K44" s="121">
        <v>46023</v>
      </c>
      <c r="L44" s="121">
        <v>46326</v>
      </c>
      <c r="M44" s="160">
        <f t="shared" si="1"/>
        <v>1909.6000000000001</v>
      </c>
      <c r="N44" s="150">
        <f>IF(H44="New Hire","N/A",'Time Sheet'!Z48)</f>
        <v>0</v>
      </c>
      <c r="O44" s="179">
        <f t="shared" si="2"/>
        <v>0</v>
      </c>
      <c r="P44" s="180">
        <f t="shared" si="3"/>
        <v>0</v>
      </c>
    </row>
    <row r="45" spans="2:16" ht="15.5" x14ac:dyDescent="0.35">
      <c r="B45" s="68">
        <f t="shared" si="4"/>
        <v>31</v>
      </c>
      <c r="C45" s="154">
        <f>'Time Sheet'!C49</f>
        <v>0</v>
      </c>
      <c r="D45" s="154">
        <f>'Time Sheet'!D49</f>
        <v>0</v>
      </c>
      <c r="E45" s="154">
        <f>'Time Sheet'!E49</f>
        <v>0</v>
      </c>
      <c r="F45" s="154">
        <f>'Time Sheet'!F49</f>
        <v>0</v>
      </c>
      <c r="G45" s="154">
        <f>'Time Sheet'!G49</f>
        <v>0</v>
      </c>
      <c r="H45" s="172">
        <f>'Time Sheet'!L49</f>
        <v>0</v>
      </c>
      <c r="I45" s="147">
        <v>10000</v>
      </c>
      <c r="J45" s="120">
        <f t="shared" si="0"/>
        <v>10000</v>
      </c>
      <c r="K45" s="121">
        <v>46023</v>
      </c>
      <c r="L45" s="121">
        <v>46326</v>
      </c>
      <c r="M45" s="160">
        <f t="shared" si="1"/>
        <v>1909.6000000000001</v>
      </c>
      <c r="N45" s="150">
        <f>IF(H45="New Hire","N/A",'Time Sheet'!Z49)</f>
        <v>0</v>
      </c>
      <c r="O45" s="179">
        <f t="shared" si="2"/>
        <v>0</v>
      </c>
      <c r="P45" s="180">
        <f t="shared" si="3"/>
        <v>0</v>
      </c>
    </row>
    <row r="46" spans="2:16" ht="15.5" x14ac:dyDescent="0.35">
      <c r="B46" s="68">
        <f t="shared" si="4"/>
        <v>32</v>
      </c>
      <c r="C46" s="154">
        <f>'Time Sheet'!C50</f>
        <v>0</v>
      </c>
      <c r="D46" s="154">
        <f>'Time Sheet'!D50</f>
        <v>0</v>
      </c>
      <c r="E46" s="154">
        <f>'Time Sheet'!E50</f>
        <v>0</v>
      </c>
      <c r="F46" s="154">
        <f>'Time Sheet'!F50</f>
        <v>0</v>
      </c>
      <c r="G46" s="154">
        <f>'Time Sheet'!G50</f>
        <v>0</v>
      </c>
      <c r="H46" s="172">
        <f>'Time Sheet'!L50</f>
        <v>0</v>
      </c>
      <c r="I46" s="147">
        <v>10000</v>
      </c>
      <c r="J46" s="120">
        <f t="shared" si="0"/>
        <v>10000</v>
      </c>
      <c r="K46" s="121"/>
      <c r="L46" s="121"/>
      <c r="M46" s="160">
        <f t="shared" si="1"/>
        <v>0</v>
      </c>
      <c r="N46" s="150">
        <f>IF(H46="New Hire","N/A",'Time Sheet'!Z50)</f>
        <v>0</v>
      </c>
      <c r="O46" s="179" t="e">
        <f t="shared" si="2"/>
        <v>#DIV/0!</v>
      </c>
      <c r="P46" s="180" t="e">
        <f t="shared" si="3"/>
        <v>#DIV/0!</v>
      </c>
    </row>
    <row r="47" spans="2:16" ht="15.5" x14ac:dyDescent="0.35">
      <c r="B47" s="68">
        <f t="shared" si="4"/>
        <v>33</v>
      </c>
      <c r="C47" s="154">
        <f>'Time Sheet'!C51</f>
        <v>0</v>
      </c>
      <c r="D47" s="154">
        <f>'Time Sheet'!D51</f>
        <v>0</v>
      </c>
      <c r="E47" s="154">
        <f>'Time Sheet'!E51</f>
        <v>0</v>
      </c>
      <c r="F47" s="154">
        <f>'Time Sheet'!F51</f>
        <v>0</v>
      </c>
      <c r="G47" s="154">
        <f>'Time Sheet'!G51</f>
        <v>0</v>
      </c>
      <c r="H47" s="172">
        <f>'Time Sheet'!L51</f>
        <v>0</v>
      </c>
      <c r="I47" s="147">
        <v>10000</v>
      </c>
      <c r="J47" s="120">
        <f t="shared" si="0"/>
        <v>10000</v>
      </c>
      <c r="K47" s="121"/>
      <c r="L47" s="121"/>
      <c r="M47" s="160">
        <f t="shared" si="1"/>
        <v>0</v>
      </c>
      <c r="N47" s="150">
        <f>IF(H47="New Hire","N/A",'Time Sheet'!Z51)</f>
        <v>0</v>
      </c>
      <c r="O47" s="179" t="e">
        <f t="shared" si="2"/>
        <v>#DIV/0!</v>
      </c>
      <c r="P47" s="180" t="e">
        <f t="shared" si="3"/>
        <v>#DIV/0!</v>
      </c>
    </row>
    <row r="48" spans="2:16" ht="15.5" x14ac:dyDescent="0.35">
      <c r="B48" s="68">
        <f t="shared" si="4"/>
        <v>34</v>
      </c>
      <c r="C48" s="154">
        <f>'Time Sheet'!C52</f>
        <v>0</v>
      </c>
      <c r="D48" s="154">
        <f>'Time Sheet'!D52</f>
        <v>0</v>
      </c>
      <c r="E48" s="154">
        <f>'Time Sheet'!E52</f>
        <v>0</v>
      </c>
      <c r="F48" s="154">
        <f>'Time Sheet'!F52</f>
        <v>0</v>
      </c>
      <c r="G48" s="154">
        <f>'Time Sheet'!G52</f>
        <v>0</v>
      </c>
      <c r="H48" s="172">
        <f>'Time Sheet'!L52</f>
        <v>0</v>
      </c>
      <c r="I48" s="147"/>
      <c r="J48" s="120" t="str">
        <f t="shared" si="0"/>
        <v>N/A</v>
      </c>
      <c r="K48" s="121"/>
      <c r="L48" s="121"/>
      <c r="M48" s="160">
        <f t="shared" si="1"/>
        <v>0</v>
      </c>
      <c r="N48" s="150">
        <f>IF(H48="New Hire","N/A",'Time Sheet'!Z52)</f>
        <v>0</v>
      </c>
      <c r="O48" s="179" t="e">
        <f t="shared" si="2"/>
        <v>#DIV/0!</v>
      </c>
      <c r="P48" s="180" t="e">
        <f t="shared" si="3"/>
        <v>#VALUE!</v>
      </c>
    </row>
    <row r="49" spans="2:16" ht="15.5" x14ac:dyDescent="0.35">
      <c r="B49" s="68">
        <f t="shared" si="4"/>
        <v>35</v>
      </c>
      <c r="C49" s="154">
        <f>'Time Sheet'!C53</f>
        <v>0</v>
      </c>
      <c r="D49" s="154">
        <f>'Time Sheet'!D53</f>
        <v>0</v>
      </c>
      <c r="E49" s="154">
        <f>'Time Sheet'!E53</f>
        <v>0</v>
      </c>
      <c r="F49" s="154">
        <f>'Time Sheet'!F53</f>
        <v>0</v>
      </c>
      <c r="G49" s="154">
        <f>'Time Sheet'!G53</f>
        <v>0</v>
      </c>
      <c r="H49" s="172">
        <f>'Time Sheet'!L53</f>
        <v>0</v>
      </c>
      <c r="I49" s="147"/>
      <c r="J49" s="120" t="str">
        <f t="shared" si="0"/>
        <v>N/A</v>
      </c>
      <c r="K49" s="121"/>
      <c r="L49" s="121"/>
      <c r="M49" s="160">
        <f t="shared" si="1"/>
        <v>0</v>
      </c>
      <c r="N49" s="150">
        <f>IF(H49="New Hire","N/A",'Time Sheet'!Z53)</f>
        <v>0</v>
      </c>
      <c r="O49" s="179" t="e">
        <f t="shared" si="2"/>
        <v>#DIV/0!</v>
      </c>
      <c r="P49" s="180" t="e">
        <f t="shared" si="3"/>
        <v>#VALUE!</v>
      </c>
    </row>
    <row r="50" spans="2:16" ht="15.5" x14ac:dyDescent="0.35">
      <c r="B50" s="68">
        <f t="shared" si="4"/>
        <v>36</v>
      </c>
      <c r="C50" s="154">
        <f>'Time Sheet'!C54</f>
        <v>0</v>
      </c>
      <c r="D50" s="154">
        <f>'Time Sheet'!D54</f>
        <v>0</v>
      </c>
      <c r="E50" s="154">
        <f>'Time Sheet'!E54</f>
        <v>0</v>
      </c>
      <c r="F50" s="154">
        <f>'Time Sheet'!F54</f>
        <v>0</v>
      </c>
      <c r="G50" s="154">
        <f>'Time Sheet'!G54</f>
        <v>0</v>
      </c>
      <c r="H50" s="172">
        <f>'Time Sheet'!L54</f>
        <v>0</v>
      </c>
      <c r="I50" s="147"/>
      <c r="J50" s="120" t="str">
        <f t="shared" si="0"/>
        <v>N/A</v>
      </c>
      <c r="K50" s="121"/>
      <c r="L50" s="121"/>
      <c r="M50" s="160">
        <f t="shared" si="1"/>
        <v>0</v>
      </c>
      <c r="N50" s="150">
        <f>IF(H50="New Hire","N/A",'Time Sheet'!Z54)</f>
        <v>0</v>
      </c>
      <c r="O50" s="179" t="e">
        <f t="shared" si="2"/>
        <v>#DIV/0!</v>
      </c>
      <c r="P50" s="180" t="e">
        <f t="shared" si="3"/>
        <v>#VALUE!</v>
      </c>
    </row>
    <row r="51" spans="2:16" ht="15.5" x14ac:dyDescent="0.35">
      <c r="B51" s="68">
        <f t="shared" si="4"/>
        <v>37</v>
      </c>
      <c r="C51" s="154">
        <f>'Time Sheet'!C55</f>
        <v>0</v>
      </c>
      <c r="D51" s="154">
        <f>'Time Sheet'!D55</f>
        <v>0</v>
      </c>
      <c r="E51" s="154">
        <f>'Time Sheet'!E55</f>
        <v>0</v>
      </c>
      <c r="F51" s="154">
        <f>'Time Sheet'!F55</f>
        <v>0</v>
      </c>
      <c r="G51" s="154">
        <f>'Time Sheet'!G55</f>
        <v>0</v>
      </c>
      <c r="H51" s="172">
        <f>'Time Sheet'!L55</f>
        <v>0</v>
      </c>
      <c r="I51" s="147"/>
      <c r="J51" s="120" t="str">
        <f t="shared" si="0"/>
        <v>N/A</v>
      </c>
      <c r="K51" s="121"/>
      <c r="L51" s="121"/>
      <c r="M51" s="160">
        <f t="shared" si="1"/>
        <v>0</v>
      </c>
      <c r="N51" s="150">
        <f>IF(H51="New Hire","N/A",'Time Sheet'!Z55)</f>
        <v>0</v>
      </c>
      <c r="O51" s="179" t="e">
        <f t="shared" si="2"/>
        <v>#DIV/0!</v>
      </c>
      <c r="P51" s="180" t="e">
        <f t="shared" si="3"/>
        <v>#VALUE!</v>
      </c>
    </row>
    <row r="52" spans="2:16" ht="15.5" x14ac:dyDescent="0.35">
      <c r="B52" s="68">
        <f t="shared" si="4"/>
        <v>38</v>
      </c>
      <c r="C52" s="154">
        <f>'Time Sheet'!C56</f>
        <v>0</v>
      </c>
      <c r="D52" s="154">
        <f>'Time Sheet'!D56</f>
        <v>0</v>
      </c>
      <c r="E52" s="154">
        <f>'Time Sheet'!E56</f>
        <v>0</v>
      </c>
      <c r="F52" s="154">
        <f>'Time Sheet'!F56</f>
        <v>0</v>
      </c>
      <c r="G52" s="154">
        <f>'Time Sheet'!G56</f>
        <v>0</v>
      </c>
      <c r="H52" s="172">
        <f>'Time Sheet'!L56</f>
        <v>0</v>
      </c>
      <c r="I52" s="147"/>
      <c r="J52" s="120" t="str">
        <f t="shared" si="0"/>
        <v>N/A</v>
      </c>
      <c r="K52" s="121"/>
      <c r="L52" s="121"/>
      <c r="M52" s="160">
        <f t="shared" si="1"/>
        <v>0</v>
      </c>
      <c r="N52" s="150">
        <f>IF(H52="New Hire","N/A",'Time Sheet'!Z56)</f>
        <v>0</v>
      </c>
      <c r="O52" s="179" t="e">
        <f t="shared" si="2"/>
        <v>#DIV/0!</v>
      </c>
      <c r="P52" s="180" t="e">
        <f t="shared" si="3"/>
        <v>#VALUE!</v>
      </c>
    </row>
    <row r="53" spans="2:16" ht="15.5" x14ac:dyDescent="0.35">
      <c r="B53" s="68">
        <f t="shared" si="4"/>
        <v>39</v>
      </c>
      <c r="C53" s="154">
        <f>'Time Sheet'!C57</f>
        <v>0</v>
      </c>
      <c r="D53" s="154">
        <f>'Time Sheet'!D57</f>
        <v>0</v>
      </c>
      <c r="E53" s="154">
        <f>'Time Sheet'!E57</f>
        <v>0</v>
      </c>
      <c r="F53" s="154">
        <f>'Time Sheet'!F57</f>
        <v>0</v>
      </c>
      <c r="G53" s="154">
        <f>'Time Sheet'!G57</f>
        <v>0</v>
      </c>
      <c r="H53" s="172">
        <f>'Time Sheet'!L57</f>
        <v>0</v>
      </c>
      <c r="I53" s="147"/>
      <c r="J53" s="120" t="str">
        <f t="shared" si="0"/>
        <v>N/A</v>
      </c>
      <c r="K53" s="121"/>
      <c r="L53" s="121"/>
      <c r="M53" s="160">
        <f t="shared" si="1"/>
        <v>0</v>
      </c>
      <c r="N53" s="150">
        <f>IF(H53="New Hire","N/A",'Time Sheet'!Z57)</f>
        <v>0</v>
      </c>
      <c r="O53" s="179" t="e">
        <f t="shared" si="2"/>
        <v>#DIV/0!</v>
      </c>
      <c r="P53" s="180" t="e">
        <f t="shared" si="3"/>
        <v>#VALUE!</v>
      </c>
    </row>
    <row r="54" spans="2:16" ht="15.5" x14ac:dyDescent="0.35">
      <c r="B54" s="68">
        <f t="shared" si="4"/>
        <v>40</v>
      </c>
      <c r="C54" s="154">
        <f>'Time Sheet'!C58</f>
        <v>0</v>
      </c>
      <c r="D54" s="154">
        <f>'Time Sheet'!D58</f>
        <v>0</v>
      </c>
      <c r="E54" s="154">
        <f>'Time Sheet'!E58</f>
        <v>0</v>
      </c>
      <c r="F54" s="154">
        <f>'Time Sheet'!F58</f>
        <v>0</v>
      </c>
      <c r="G54" s="154">
        <f>'Time Sheet'!G58</f>
        <v>0</v>
      </c>
      <c r="H54" s="172">
        <f>'Time Sheet'!L58</f>
        <v>0</v>
      </c>
      <c r="I54" s="147"/>
      <c r="J54" s="120" t="str">
        <f t="shared" si="0"/>
        <v>N/A</v>
      </c>
      <c r="K54" s="121"/>
      <c r="L54" s="121"/>
      <c r="M54" s="160">
        <f t="shared" si="1"/>
        <v>0</v>
      </c>
      <c r="N54" s="150">
        <f>IF(H54="New Hire","N/A",'Time Sheet'!Z58)</f>
        <v>0</v>
      </c>
      <c r="O54" s="179" t="e">
        <f t="shared" si="2"/>
        <v>#DIV/0!</v>
      </c>
      <c r="P54" s="180" t="e">
        <f t="shared" si="3"/>
        <v>#VALUE!</v>
      </c>
    </row>
    <row r="55" spans="2:16" ht="15.5" x14ac:dyDescent="0.35">
      <c r="B55" s="68">
        <f t="shared" si="4"/>
        <v>41</v>
      </c>
      <c r="C55" s="154">
        <f>'Time Sheet'!C59</f>
        <v>0</v>
      </c>
      <c r="D55" s="154">
        <f>'Time Sheet'!D59</f>
        <v>0</v>
      </c>
      <c r="E55" s="154">
        <f>'Time Sheet'!E59</f>
        <v>0</v>
      </c>
      <c r="F55" s="154">
        <f>'Time Sheet'!F59</f>
        <v>0</v>
      </c>
      <c r="G55" s="154">
        <f>'Time Sheet'!G59</f>
        <v>0</v>
      </c>
      <c r="H55" s="172">
        <f>'Time Sheet'!L59</f>
        <v>0</v>
      </c>
      <c r="I55" s="147"/>
      <c r="J55" s="120" t="str">
        <f t="shared" si="0"/>
        <v>N/A</v>
      </c>
      <c r="K55" s="121"/>
      <c r="L55" s="121"/>
      <c r="M55" s="160">
        <f t="shared" si="1"/>
        <v>0</v>
      </c>
      <c r="N55" s="150">
        <f>IF(H55="New Hire","N/A",'Time Sheet'!Z59)</f>
        <v>0</v>
      </c>
      <c r="O55" s="179" t="e">
        <f t="shared" si="2"/>
        <v>#DIV/0!</v>
      </c>
      <c r="P55" s="180" t="e">
        <f t="shared" si="3"/>
        <v>#VALUE!</v>
      </c>
    </row>
    <row r="56" spans="2:16" ht="15.5" x14ac:dyDescent="0.35">
      <c r="B56" s="68">
        <f t="shared" si="4"/>
        <v>42</v>
      </c>
      <c r="C56" s="154">
        <f>'Time Sheet'!C60</f>
        <v>0</v>
      </c>
      <c r="D56" s="154">
        <f>'Time Sheet'!D60</f>
        <v>0</v>
      </c>
      <c r="E56" s="154">
        <f>'Time Sheet'!E60</f>
        <v>0</v>
      </c>
      <c r="F56" s="154">
        <f>'Time Sheet'!F60</f>
        <v>0</v>
      </c>
      <c r="G56" s="154">
        <f>'Time Sheet'!G60</f>
        <v>0</v>
      </c>
      <c r="H56" s="172">
        <f>'Time Sheet'!L60</f>
        <v>0</v>
      </c>
      <c r="I56" s="147"/>
      <c r="J56" s="120" t="str">
        <f t="shared" si="0"/>
        <v>N/A</v>
      </c>
      <c r="K56" s="121"/>
      <c r="L56" s="121"/>
      <c r="M56" s="160">
        <f t="shared" si="1"/>
        <v>0</v>
      </c>
      <c r="N56" s="150">
        <f>IF(H56="New Hire","N/A",'Time Sheet'!Z60)</f>
        <v>0</v>
      </c>
      <c r="O56" s="179" t="e">
        <f t="shared" si="2"/>
        <v>#DIV/0!</v>
      </c>
      <c r="P56" s="180" t="e">
        <f t="shared" si="3"/>
        <v>#VALUE!</v>
      </c>
    </row>
    <row r="57" spans="2:16" ht="15.5" x14ac:dyDescent="0.35">
      <c r="B57" s="68">
        <f t="shared" si="4"/>
        <v>43</v>
      </c>
      <c r="C57" s="154">
        <f>'Time Sheet'!C61</f>
        <v>0</v>
      </c>
      <c r="D57" s="154">
        <f>'Time Sheet'!D61</f>
        <v>0</v>
      </c>
      <c r="E57" s="154">
        <f>'Time Sheet'!E61</f>
        <v>0</v>
      </c>
      <c r="F57" s="154">
        <f>'Time Sheet'!F61</f>
        <v>0</v>
      </c>
      <c r="G57" s="154">
        <f>'Time Sheet'!G61</f>
        <v>0</v>
      </c>
      <c r="H57" s="172">
        <f>'Time Sheet'!L61</f>
        <v>0</v>
      </c>
      <c r="I57" s="147"/>
      <c r="J57" s="120" t="str">
        <f t="shared" si="0"/>
        <v>N/A</v>
      </c>
      <c r="K57" s="121"/>
      <c r="L57" s="121"/>
      <c r="M57" s="160">
        <f t="shared" si="1"/>
        <v>0</v>
      </c>
      <c r="N57" s="150">
        <f>IF(H57="New Hire","N/A",'Time Sheet'!Z61)</f>
        <v>0</v>
      </c>
      <c r="O57" s="179" t="e">
        <f t="shared" si="2"/>
        <v>#DIV/0!</v>
      </c>
      <c r="P57" s="180" t="e">
        <f t="shared" si="3"/>
        <v>#VALUE!</v>
      </c>
    </row>
    <row r="58" spans="2:16" ht="15.5" x14ac:dyDescent="0.35">
      <c r="B58" s="68">
        <f t="shared" si="4"/>
        <v>44</v>
      </c>
      <c r="C58" s="154">
        <f>'Time Sheet'!C62</f>
        <v>0</v>
      </c>
      <c r="D58" s="154">
        <f>'Time Sheet'!D62</f>
        <v>0</v>
      </c>
      <c r="E58" s="154">
        <f>'Time Sheet'!E62</f>
        <v>0</v>
      </c>
      <c r="F58" s="154">
        <f>'Time Sheet'!F62</f>
        <v>0</v>
      </c>
      <c r="G58" s="154">
        <f>'Time Sheet'!G62</f>
        <v>0</v>
      </c>
      <c r="H58" s="172">
        <f>'Time Sheet'!L62</f>
        <v>0</v>
      </c>
      <c r="I58" s="147"/>
      <c r="J58" s="120" t="str">
        <f t="shared" si="0"/>
        <v>N/A</v>
      </c>
      <c r="K58" s="121"/>
      <c r="L58" s="121"/>
      <c r="M58" s="160">
        <f t="shared" si="1"/>
        <v>0</v>
      </c>
      <c r="N58" s="150">
        <f>IF(H58="New Hire","N/A",'Time Sheet'!Z62)</f>
        <v>0</v>
      </c>
      <c r="O58" s="179" t="e">
        <f t="shared" si="2"/>
        <v>#DIV/0!</v>
      </c>
      <c r="P58" s="180" t="e">
        <f t="shared" si="3"/>
        <v>#VALUE!</v>
      </c>
    </row>
    <row r="59" spans="2:16" ht="15.5" x14ac:dyDescent="0.35">
      <c r="B59" s="68">
        <f t="shared" si="4"/>
        <v>45</v>
      </c>
      <c r="C59" s="154">
        <f>'Time Sheet'!C63</f>
        <v>0</v>
      </c>
      <c r="D59" s="154">
        <f>'Time Sheet'!D63</f>
        <v>0</v>
      </c>
      <c r="E59" s="154">
        <f>'Time Sheet'!E63</f>
        <v>0</v>
      </c>
      <c r="F59" s="154">
        <f>'Time Sheet'!F63</f>
        <v>0</v>
      </c>
      <c r="G59" s="154">
        <f>'Time Sheet'!G63</f>
        <v>0</v>
      </c>
      <c r="H59" s="172">
        <f>'Time Sheet'!L63</f>
        <v>0</v>
      </c>
      <c r="I59" s="147"/>
      <c r="J59" s="120" t="str">
        <f t="shared" si="0"/>
        <v>N/A</v>
      </c>
      <c r="K59" s="121"/>
      <c r="L59" s="121"/>
      <c r="M59" s="160">
        <f t="shared" si="1"/>
        <v>0</v>
      </c>
      <c r="N59" s="150">
        <f>IF(H59="New Hire","N/A",'Time Sheet'!Z63)</f>
        <v>0</v>
      </c>
      <c r="O59" s="179" t="e">
        <f t="shared" si="2"/>
        <v>#DIV/0!</v>
      </c>
      <c r="P59" s="180" t="e">
        <f t="shared" si="3"/>
        <v>#VALUE!</v>
      </c>
    </row>
    <row r="60" spans="2:16" ht="15.5" x14ac:dyDescent="0.35">
      <c r="B60" s="68">
        <f t="shared" si="4"/>
        <v>46</v>
      </c>
      <c r="C60" s="154">
        <f>'Time Sheet'!C64</f>
        <v>0</v>
      </c>
      <c r="D60" s="154">
        <f>'Time Sheet'!D64</f>
        <v>0</v>
      </c>
      <c r="E60" s="154">
        <f>'Time Sheet'!E64</f>
        <v>0</v>
      </c>
      <c r="F60" s="154">
        <f>'Time Sheet'!F64</f>
        <v>0</v>
      </c>
      <c r="G60" s="154">
        <f>'Time Sheet'!G64</f>
        <v>0</v>
      </c>
      <c r="H60" s="172">
        <f>'Time Sheet'!L64</f>
        <v>0</v>
      </c>
      <c r="I60" s="147"/>
      <c r="J60" s="120" t="str">
        <f t="shared" si="0"/>
        <v>N/A</v>
      </c>
      <c r="K60" s="121"/>
      <c r="L60" s="121"/>
      <c r="M60" s="160">
        <f t="shared" si="1"/>
        <v>0</v>
      </c>
      <c r="N60" s="150">
        <f>IF(H60="New Hire","N/A",'Time Sheet'!Z64)</f>
        <v>0</v>
      </c>
      <c r="O60" s="179" t="e">
        <f t="shared" si="2"/>
        <v>#DIV/0!</v>
      </c>
      <c r="P60" s="180" t="e">
        <f t="shared" si="3"/>
        <v>#VALUE!</v>
      </c>
    </row>
    <row r="61" spans="2:16" ht="15.5" x14ac:dyDescent="0.35">
      <c r="B61" s="68">
        <f t="shared" si="4"/>
        <v>47</v>
      </c>
      <c r="C61" s="154">
        <f>'Time Sheet'!C65</f>
        <v>0</v>
      </c>
      <c r="D61" s="154">
        <f>'Time Sheet'!D65</f>
        <v>0</v>
      </c>
      <c r="E61" s="154">
        <f>'Time Sheet'!E65</f>
        <v>0</v>
      </c>
      <c r="F61" s="154">
        <f>'Time Sheet'!F65</f>
        <v>0</v>
      </c>
      <c r="G61" s="154">
        <f>'Time Sheet'!G65</f>
        <v>0</v>
      </c>
      <c r="H61" s="172">
        <f>'Time Sheet'!L65</f>
        <v>0</v>
      </c>
      <c r="I61" s="147"/>
      <c r="J61" s="120" t="str">
        <f t="shared" si="0"/>
        <v>N/A</v>
      </c>
      <c r="K61" s="121"/>
      <c r="L61" s="121"/>
      <c r="M61" s="160">
        <f t="shared" si="1"/>
        <v>0</v>
      </c>
      <c r="N61" s="150">
        <f>IF(H61="New Hire","N/A",'Time Sheet'!Z65)</f>
        <v>0</v>
      </c>
      <c r="O61" s="179" t="e">
        <f t="shared" si="2"/>
        <v>#DIV/0!</v>
      </c>
      <c r="P61" s="180" t="e">
        <f t="shared" si="3"/>
        <v>#VALUE!</v>
      </c>
    </row>
    <row r="62" spans="2:16" ht="15.5" x14ac:dyDescent="0.35">
      <c r="B62" s="68">
        <f t="shared" si="4"/>
        <v>48</v>
      </c>
      <c r="C62" s="154">
        <f>'Time Sheet'!C66</f>
        <v>0</v>
      </c>
      <c r="D62" s="154">
        <f>'Time Sheet'!D66</f>
        <v>0</v>
      </c>
      <c r="E62" s="154">
        <f>'Time Sheet'!E66</f>
        <v>0</v>
      </c>
      <c r="F62" s="154">
        <f>'Time Sheet'!F66</f>
        <v>0</v>
      </c>
      <c r="G62" s="154">
        <f>'Time Sheet'!G66</f>
        <v>0</v>
      </c>
      <c r="H62" s="172">
        <f>'Time Sheet'!L66</f>
        <v>0</v>
      </c>
      <c r="I62" s="147"/>
      <c r="J62" s="120" t="str">
        <f t="shared" si="0"/>
        <v>N/A</v>
      </c>
      <c r="K62" s="121"/>
      <c r="L62" s="121"/>
      <c r="M62" s="160">
        <f t="shared" si="1"/>
        <v>0</v>
      </c>
      <c r="N62" s="150">
        <f>IF(H62="New Hire","N/A",'Time Sheet'!Z66)</f>
        <v>0</v>
      </c>
      <c r="O62" s="179" t="e">
        <f t="shared" si="2"/>
        <v>#DIV/0!</v>
      </c>
      <c r="P62" s="180" t="e">
        <f t="shared" si="3"/>
        <v>#VALUE!</v>
      </c>
    </row>
    <row r="63" spans="2:16" ht="15.5" x14ac:dyDescent="0.35">
      <c r="B63" s="68">
        <f t="shared" si="4"/>
        <v>49</v>
      </c>
      <c r="C63" s="154">
        <f>'Time Sheet'!C67</f>
        <v>0</v>
      </c>
      <c r="D63" s="154">
        <f>'Time Sheet'!D67</f>
        <v>0</v>
      </c>
      <c r="E63" s="154">
        <f>'Time Sheet'!E67</f>
        <v>0</v>
      </c>
      <c r="F63" s="154">
        <f>'Time Sheet'!F67</f>
        <v>0</v>
      </c>
      <c r="G63" s="154">
        <f>'Time Sheet'!G67</f>
        <v>0</v>
      </c>
      <c r="H63" s="172">
        <f>'Time Sheet'!L67</f>
        <v>0</v>
      </c>
      <c r="I63" s="147"/>
      <c r="J63" s="120" t="str">
        <f t="shared" si="0"/>
        <v>N/A</v>
      </c>
      <c r="K63" s="121"/>
      <c r="L63" s="121"/>
      <c r="M63" s="160">
        <f t="shared" si="1"/>
        <v>0</v>
      </c>
      <c r="N63" s="150">
        <f>IF(H63="New Hire","N/A",'Time Sheet'!Z67)</f>
        <v>0</v>
      </c>
      <c r="O63" s="179" t="e">
        <f t="shared" si="2"/>
        <v>#DIV/0!</v>
      </c>
      <c r="P63" s="180" t="e">
        <f t="shared" si="3"/>
        <v>#VALUE!</v>
      </c>
    </row>
    <row r="64" spans="2:16" ht="16" thickBot="1" x14ac:dyDescent="0.4">
      <c r="B64" s="73">
        <f t="shared" si="4"/>
        <v>50</v>
      </c>
      <c r="C64" s="155">
        <f>'Time Sheet'!C68</f>
        <v>0</v>
      </c>
      <c r="D64" s="155">
        <f>'Time Sheet'!D68</f>
        <v>0</v>
      </c>
      <c r="E64" s="155">
        <f>'Time Sheet'!E68</f>
        <v>0</v>
      </c>
      <c r="F64" s="155">
        <f>'Time Sheet'!F68</f>
        <v>0</v>
      </c>
      <c r="G64" s="155">
        <f>'Time Sheet'!G68</f>
        <v>0</v>
      </c>
      <c r="H64" s="172">
        <f>'Time Sheet'!L68</f>
        <v>0</v>
      </c>
      <c r="I64" s="147"/>
      <c r="J64" s="120" t="str">
        <f t="shared" si="0"/>
        <v>N/A</v>
      </c>
      <c r="K64" s="121"/>
      <c r="L64" s="121"/>
      <c r="M64" s="160">
        <f t="shared" si="1"/>
        <v>0</v>
      </c>
      <c r="N64" s="150">
        <f>IF(H64="New Hire","N/A",'Time Sheet'!Z68)</f>
        <v>0</v>
      </c>
      <c r="O64" s="179" t="e">
        <f t="shared" si="2"/>
        <v>#DIV/0!</v>
      </c>
      <c r="P64" s="180" t="e">
        <f t="shared" si="3"/>
        <v>#VALUE!</v>
      </c>
    </row>
    <row r="65" spans="2:16" ht="16" thickBot="1" x14ac:dyDescent="0.4">
      <c r="B65" s="122"/>
      <c r="I65" s="123">
        <f>SUM(I15:I64)</f>
        <v>330000</v>
      </c>
      <c r="J65" s="123">
        <f>SUM(J15:J64)</f>
        <v>330000</v>
      </c>
      <c r="K65" s="124"/>
      <c r="L65" s="124"/>
      <c r="M65" s="155"/>
      <c r="N65" s="161"/>
      <c r="O65" s="162"/>
      <c r="P65" s="181"/>
    </row>
    <row r="66" spans="2:16" x14ac:dyDescent="0.35">
      <c r="B66" s="125"/>
    </row>
    <row r="67" spans="2:16" x14ac:dyDescent="0.35">
      <c r="B67" s="125"/>
    </row>
    <row r="68" spans="2:16" ht="15" thickBot="1" x14ac:dyDescent="0.4">
      <c r="B68" s="125"/>
    </row>
    <row r="69" spans="2:16" ht="15" thickBot="1" x14ac:dyDescent="0.4">
      <c r="B69" s="125" t="s">
        <v>66</v>
      </c>
      <c r="D69" s="126" t="s">
        <v>37</v>
      </c>
      <c r="E69" s="145"/>
      <c r="F69" s="127" t="s">
        <v>38</v>
      </c>
      <c r="G69" s="128"/>
      <c r="H69" s="170"/>
    </row>
    <row r="70" spans="2:16" x14ac:dyDescent="0.35">
      <c r="B70" s="125"/>
      <c r="D70" s="129" t="s">
        <v>88</v>
      </c>
      <c r="E70" s="129"/>
    </row>
    <row r="71" spans="2:16" x14ac:dyDescent="0.35">
      <c r="B71" s="125"/>
      <c r="D71" s="129"/>
      <c r="E71" s="129"/>
    </row>
    <row r="72" spans="2:16" ht="15" thickBot="1" x14ac:dyDescent="0.4">
      <c r="B72" s="125"/>
      <c r="D72" s="129"/>
      <c r="E72" s="129"/>
    </row>
    <row r="73" spans="2:16" ht="15" thickBot="1" x14ac:dyDescent="0.4">
      <c r="B73" s="125" t="s">
        <v>67</v>
      </c>
      <c r="F73" s="127" t="s">
        <v>38</v>
      </c>
      <c r="G73" s="128"/>
      <c r="H73" s="170"/>
    </row>
    <row r="74" spans="2:16" ht="15" thickBot="1" x14ac:dyDescent="0.4">
      <c r="B74" s="125"/>
      <c r="D74" s="126" t="s">
        <v>37</v>
      </c>
      <c r="E74" s="145"/>
    </row>
    <row r="75" spans="2:16" x14ac:dyDescent="0.35">
      <c r="B75" s="125"/>
      <c r="D75" s="129" t="s">
        <v>68</v>
      </c>
      <c r="E75" s="129"/>
    </row>
    <row r="77" spans="2:16" x14ac:dyDescent="0.35">
      <c r="B77" s="125"/>
    </row>
    <row r="78" spans="2:16" ht="15" thickBot="1" x14ac:dyDescent="0.4">
      <c r="B78" s="125" t="s">
        <v>36</v>
      </c>
    </row>
    <row r="79" spans="2:16" ht="15" thickBot="1" x14ac:dyDescent="0.4">
      <c r="B79" s="125"/>
      <c r="D79" s="126" t="s">
        <v>37</v>
      </c>
      <c r="E79" s="145"/>
      <c r="F79" s="127" t="s">
        <v>38</v>
      </c>
      <c r="G79" s="128"/>
      <c r="H79" s="170"/>
    </row>
    <row r="80" spans="2:16" x14ac:dyDescent="0.35">
      <c r="B80" s="125"/>
      <c r="D80" s="129" t="s">
        <v>39</v>
      </c>
      <c r="E80" s="129"/>
    </row>
  </sheetData>
  <sheetProtection algorithmName="SHA-512" hashValue="KhTbR5TqqWMa3mFAZnE1NJVZcdtK0zAEjvO5k+F+ral9ZveQKaRxobXoeO3pYi0t58NTgUJK2VTLwKcJpvElLw==" saltValue="P+0hMaw1+I4EQOOpFsrZgQ==" spinCount="100000" sheet="1" objects="1" scenarios="1"/>
  <mergeCells count="1">
    <mergeCell ref="B13:D1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B241D-0BE6-407E-9765-19A9C642BB0A}">
  <dimension ref="B2:K24"/>
  <sheetViews>
    <sheetView workbookViewId="0">
      <selection activeCell="G11" sqref="G11"/>
    </sheetView>
  </sheetViews>
  <sheetFormatPr defaultRowHeight="14.5" x14ac:dyDescent="0.35"/>
  <cols>
    <col min="2" max="2" width="46.6328125" customWidth="1"/>
    <col min="3" max="3" width="22.54296875" customWidth="1"/>
    <col min="4" max="4" width="21.81640625" customWidth="1"/>
    <col min="5" max="5" width="21.453125" customWidth="1"/>
  </cols>
  <sheetData>
    <row r="2" spans="2:11" ht="37.25" customHeight="1" x14ac:dyDescent="0.35">
      <c r="B2" s="91" t="s">
        <v>93</v>
      </c>
      <c r="C2" s="91" t="s">
        <v>73</v>
      </c>
      <c r="D2" s="91" t="s">
        <v>75</v>
      </c>
      <c r="E2" s="91" t="s">
        <v>74</v>
      </c>
    </row>
    <row r="3" spans="2:11" ht="29" x14ac:dyDescent="0.35">
      <c r="B3" s="91" t="s">
        <v>2</v>
      </c>
      <c r="C3" s="91" t="s">
        <v>94</v>
      </c>
      <c r="D3" s="91" t="s">
        <v>99</v>
      </c>
      <c r="E3" s="91" t="s">
        <v>103</v>
      </c>
      <c r="F3" s="91"/>
      <c r="G3" s="91"/>
      <c r="H3" s="91"/>
      <c r="I3" s="91"/>
      <c r="J3" s="91"/>
      <c r="K3" s="91"/>
    </row>
    <row r="4" spans="2:11" ht="58" x14ac:dyDescent="0.35">
      <c r="B4" s="91" t="s">
        <v>6</v>
      </c>
      <c r="C4" s="91" t="s">
        <v>95</v>
      </c>
      <c r="D4" s="91" t="s">
        <v>100</v>
      </c>
      <c r="E4" s="91" t="s">
        <v>32</v>
      </c>
      <c r="F4" s="91"/>
      <c r="G4" s="91"/>
      <c r="H4" s="91"/>
      <c r="I4" s="91"/>
      <c r="J4" s="91"/>
      <c r="K4" s="91"/>
    </row>
    <row r="5" spans="2:11" x14ac:dyDescent="0.35">
      <c r="B5" s="91" t="s">
        <v>7</v>
      </c>
      <c r="C5" s="91" t="s">
        <v>96</v>
      </c>
      <c r="D5" s="91" t="s">
        <v>101</v>
      </c>
      <c r="E5" s="91" t="s">
        <v>31</v>
      </c>
      <c r="F5" s="91"/>
      <c r="G5" s="91"/>
      <c r="H5" s="91"/>
      <c r="I5" s="91"/>
      <c r="J5" s="91"/>
      <c r="K5" s="91"/>
    </row>
    <row r="6" spans="2:11" ht="29" x14ac:dyDescent="0.35">
      <c r="B6" s="91" t="s">
        <v>8</v>
      </c>
      <c r="C6" s="91" t="s">
        <v>97</v>
      </c>
      <c r="D6" s="91" t="s">
        <v>102</v>
      </c>
      <c r="E6" s="91"/>
      <c r="F6" s="91"/>
      <c r="G6" s="91"/>
      <c r="H6" s="91"/>
      <c r="I6" s="91"/>
      <c r="J6" s="91"/>
      <c r="K6" s="91"/>
    </row>
    <row r="7" spans="2:11" x14ac:dyDescent="0.35">
      <c r="B7" s="91" t="s">
        <v>9</v>
      </c>
      <c r="C7" s="91" t="s">
        <v>98</v>
      </c>
      <c r="D7" s="91"/>
      <c r="E7" s="91"/>
      <c r="F7" s="91"/>
      <c r="G7" s="91"/>
      <c r="H7" s="91"/>
      <c r="I7" s="91"/>
      <c r="J7" s="91"/>
      <c r="K7" s="91"/>
    </row>
    <row r="8" spans="2:11" x14ac:dyDescent="0.35">
      <c r="B8" s="91" t="s">
        <v>10</v>
      </c>
      <c r="C8" s="91"/>
      <c r="D8" s="91"/>
      <c r="E8" s="91"/>
      <c r="F8" s="91"/>
      <c r="G8" s="91"/>
      <c r="H8" s="91"/>
      <c r="I8" s="91"/>
      <c r="J8" s="91"/>
      <c r="K8" s="91"/>
    </row>
    <row r="9" spans="2:11" x14ac:dyDescent="0.35">
      <c r="B9" s="91" t="s">
        <v>11</v>
      </c>
      <c r="C9" s="91"/>
      <c r="D9" s="91"/>
      <c r="E9" s="91"/>
      <c r="F9" s="91"/>
      <c r="G9" s="91"/>
      <c r="H9" s="91"/>
      <c r="I9" s="91"/>
      <c r="J9" s="91"/>
      <c r="K9" s="91"/>
    </row>
    <row r="10" spans="2:11" x14ac:dyDescent="0.35">
      <c r="B10" s="91" t="s">
        <v>12</v>
      </c>
      <c r="C10" s="91"/>
      <c r="D10" s="91"/>
      <c r="E10" s="91"/>
      <c r="F10" s="91"/>
      <c r="G10" s="91"/>
      <c r="H10" s="91"/>
      <c r="I10" s="91"/>
      <c r="J10" s="91"/>
      <c r="K10" s="91"/>
    </row>
    <row r="11" spans="2:11" x14ac:dyDescent="0.35">
      <c r="B11" s="91" t="s">
        <v>13</v>
      </c>
      <c r="C11" s="91"/>
      <c r="D11" s="91"/>
      <c r="E11" s="91"/>
      <c r="F11" s="91"/>
      <c r="G11" s="91"/>
      <c r="H11" s="91"/>
      <c r="I11" s="91"/>
      <c r="J11" s="91"/>
      <c r="K11" s="91"/>
    </row>
    <row r="12" spans="2:11" x14ac:dyDescent="0.35">
      <c r="B12" s="91" t="s">
        <v>14</v>
      </c>
      <c r="C12" s="91"/>
      <c r="D12" s="91"/>
      <c r="E12" s="91"/>
      <c r="F12" s="91"/>
      <c r="G12" s="91"/>
      <c r="H12" s="91"/>
      <c r="I12" s="91"/>
      <c r="J12" s="91"/>
      <c r="K12" s="91"/>
    </row>
    <row r="13" spans="2:11" x14ac:dyDescent="0.35">
      <c r="B13" s="91" t="s">
        <v>15</v>
      </c>
      <c r="C13" s="91"/>
      <c r="D13" s="91"/>
      <c r="E13" s="91"/>
      <c r="F13" s="91"/>
      <c r="G13" s="91"/>
      <c r="H13" s="91"/>
      <c r="I13" s="91"/>
      <c r="J13" s="91"/>
      <c r="K13" s="91"/>
    </row>
    <row r="14" spans="2:11" x14ac:dyDescent="0.35">
      <c r="B14" s="91" t="s">
        <v>16</v>
      </c>
      <c r="C14" s="91"/>
      <c r="D14" s="91"/>
      <c r="E14" s="91"/>
      <c r="F14" s="91"/>
      <c r="G14" s="91"/>
      <c r="H14" s="91"/>
      <c r="I14" s="91"/>
      <c r="J14" s="91"/>
      <c r="K14" s="91"/>
    </row>
    <row r="15" spans="2:11" x14ac:dyDescent="0.35">
      <c r="B15" s="91" t="s">
        <v>17</v>
      </c>
      <c r="C15" s="91"/>
      <c r="D15" s="91"/>
      <c r="E15" s="91"/>
      <c r="F15" s="91"/>
      <c r="G15" s="91"/>
      <c r="H15" s="91"/>
      <c r="I15" s="91"/>
      <c r="J15" s="91"/>
      <c r="K15" s="91"/>
    </row>
    <row r="16" spans="2:11" x14ac:dyDescent="0.35">
      <c r="B16" s="91" t="s">
        <v>18</v>
      </c>
      <c r="C16" s="91"/>
      <c r="D16" s="91"/>
      <c r="E16" s="91"/>
      <c r="F16" s="91"/>
      <c r="G16" s="91"/>
      <c r="H16" s="91"/>
      <c r="I16" s="91"/>
      <c r="J16" s="91"/>
      <c r="K16" s="91"/>
    </row>
    <row r="17" spans="2:11" x14ac:dyDescent="0.35">
      <c r="B17" s="91" t="s">
        <v>19</v>
      </c>
      <c r="C17" s="91"/>
      <c r="D17" s="91"/>
      <c r="E17" s="91"/>
      <c r="F17" s="91"/>
      <c r="G17" s="91"/>
      <c r="H17" s="91"/>
      <c r="I17" s="91"/>
      <c r="J17" s="91"/>
      <c r="K17" s="91"/>
    </row>
    <row r="18" spans="2:11" x14ac:dyDescent="0.35">
      <c r="B18" s="91" t="s">
        <v>20</v>
      </c>
      <c r="C18" s="91"/>
      <c r="D18" s="91"/>
      <c r="E18" s="91"/>
      <c r="F18" s="91"/>
      <c r="G18" s="91"/>
      <c r="H18" s="91"/>
      <c r="I18" s="91"/>
      <c r="J18" s="91"/>
      <c r="K18" s="91"/>
    </row>
    <row r="19" spans="2:11" x14ac:dyDescent="0.35">
      <c r="B19" s="91"/>
      <c r="C19" s="91"/>
      <c r="D19" s="91"/>
      <c r="E19" s="91"/>
      <c r="F19" s="91"/>
      <c r="G19" s="91"/>
      <c r="H19" s="91"/>
      <c r="I19" s="91"/>
      <c r="J19" s="91"/>
      <c r="K19" s="91"/>
    </row>
    <row r="20" spans="2:11" x14ac:dyDescent="0.35">
      <c r="B20" s="91"/>
      <c r="C20" s="91"/>
      <c r="D20" s="91"/>
      <c r="E20" s="91"/>
      <c r="F20" s="91"/>
      <c r="G20" s="91"/>
      <c r="H20" s="91"/>
      <c r="I20" s="91"/>
      <c r="J20" s="91"/>
      <c r="K20" s="91"/>
    </row>
    <row r="21" spans="2:11" x14ac:dyDescent="0.35">
      <c r="B21" s="91"/>
      <c r="C21" s="91"/>
      <c r="D21" s="91"/>
      <c r="E21" s="91"/>
      <c r="F21" s="91"/>
      <c r="G21" s="91"/>
      <c r="H21" s="91"/>
      <c r="I21" s="91"/>
      <c r="J21" s="91"/>
      <c r="K21" s="91"/>
    </row>
    <row r="22" spans="2:11" x14ac:dyDescent="0.35">
      <c r="B22" s="91"/>
      <c r="C22" s="91"/>
      <c r="D22" s="91"/>
      <c r="E22" s="91"/>
      <c r="F22" s="91"/>
      <c r="G22" s="91"/>
      <c r="H22" s="91"/>
      <c r="I22" s="91"/>
      <c r="J22" s="91"/>
      <c r="K22" s="91"/>
    </row>
    <row r="23" spans="2:11" x14ac:dyDescent="0.35">
      <c r="B23" s="91"/>
      <c r="C23" s="91"/>
      <c r="D23" s="91"/>
      <c r="E23" s="91"/>
      <c r="F23" s="91"/>
      <c r="G23" s="91"/>
      <c r="H23" s="91"/>
      <c r="I23" s="91"/>
      <c r="J23" s="91"/>
      <c r="K23" s="91"/>
    </row>
    <row r="24" spans="2:11" x14ac:dyDescent="0.35">
      <c r="B24" s="91"/>
      <c r="C24" s="91"/>
      <c r="D24" s="91"/>
      <c r="E24" s="91"/>
      <c r="F24" s="91"/>
      <c r="G24" s="91"/>
      <c r="H24" s="91"/>
      <c r="I24" s="91"/>
      <c r="J24" s="91"/>
      <c r="K24" s="9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7AC2BC-607D-49BE-A5E8-F329B690A5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Participating entities</vt:lpstr>
      <vt:lpstr>Time Sheet</vt:lpstr>
      <vt:lpstr>Staff Costs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Chia Chuen</dc:creator>
  <cp:lastModifiedBy>Melissa Ang Chew Chen</cp:lastModifiedBy>
  <dcterms:created xsi:type="dcterms:W3CDTF">2026-02-11T06:07:51Z</dcterms:created>
  <dcterms:modified xsi:type="dcterms:W3CDTF">2026-05-06T05:23:48Z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43ec3a-92eb-434b-bfcd-dd5fcd578c71_Enabled">
    <vt:lpwstr>true</vt:lpwstr>
  </property>
  <property fmtid="{D5CDD505-2E9C-101B-9397-08002B2CF9AE}" pid="3" name="MSIP_Label_a043ec3a-92eb-434b-bfcd-dd5fcd578c71_SetDate">
    <vt:lpwstr>2026-02-11T06:23:45Z</vt:lpwstr>
  </property>
  <property fmtid="{D5CDD505-2E9C-101B-9397-08002B2CF9AE}" pid="4" name="MSIP_Label_a043ec3a-92eb-434b-bfcd-dd5fcd578c71_Method">
    <vt:lpwstr>Privileged</vt:lpwstr>
  </property>
  <property fmtid="{D5CDD505-2E9C-101B-9397-08002B2CF9AE}" pid="5" name="MSIP_Label_a043ec3a-92eb-434b-bfcd-dd5fcd578c71_Name">
    <vt:lpwstr>Group_Unrestricted</vt:lpwstr>
  </property>
  <property fmtid="{D5CDD505-2E9C-101B-9397-08002B2CF9AE}" pid="6" name="MSIP_Label_a043ec3a-92eb-434b-bfcd-dd5fcd578c71_SiteId">
    <vt:lpwstr>82fac8d8-49c2-492d-9f67-7d9e5b66144e</vt:lpwstr>
  </property>
  <property fmtid="{D5CDD505-2E9C-101B-9397-08002B2CF9AE}" pid="7" name="MSIP_Label_a043ec3a-92eb-434b-bfcd-dd5fcd578c71_ActionId">
    <vt:lpwstr>12ab1d2d-bf9c-4afa-9a5d-d33dcc967854</vt:lpwstr>
  </property>
  <property fmtid="{D5CDD505-2E9C-101B-9397-08002B2CF9AE}" pid="8" name="MSIP_Label_a043ec3a-92eb-434b-bfcd-dd5fcd578c71_ContentBits">
    <vt:lpwstr>0</vt:lpwstr>
  </property>
  <property fmtid="{D5CDD505-2E9C-101B-9397-08002B2CF9AE}" pid="9" name="MSIP_Label_a043ec3a-92eb-434b-bfcd-dd5fcd578c71_Tag">
    <vt:lpwstr>10, 0, 1, 1</vt:lpwstr>
  </property>
</Properties>
</file>